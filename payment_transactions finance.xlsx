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lan\Project\Data Analysis\Payments\End-to-End Payment Data Warehouse\"/>
    </mc:Choice>
  </mc:AlternateContent>
  <xr:revisionPtr revIDLastSave="0" documentId="13_ncr:1_{0D82BCC7-0FD1-4B60-8ACC-D58C3DD16E57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Charts" sheetId="3" r:id="rId1"/>
    <sheet name="trnsactions data" sheetId="1" r:id="rId2"/>
    <sheet name="Pivot tables" sheetId="8" r:id="rId3"/>
  </sheets>
  <definedNames>
    <definedName name="_xlchart.v1.0" hidden="1">'trnsactions data'!$A$2:$G$101</definedName>
    <definedName name="_xlchart.v1.1" hidden="1">'trnsactions data'!$H$2:$H$101</definedName>
    <definedName name="_xlchart.v1.10" hidden="1">'trnsactions data'!$I$2:$I$101</definedName>
    <definedName name="_xlchart.v1.11" hidden="1">'trnsactions data'!$J$2:$J$101</definedName>
    <definedName name="_xlchart.v1.12" hidden="1">'trnsactions data'!$K$2:$K$101</definedName>
    <definedName name="_xlchart.v1.13" hidden="1">'trnsactions data'!$L$2:$L$101</definedName>
    <definedName name="_xlchart.v1.14" hidden="1">'trnsactions data'!$M$2:$M$101</definedName>
    <definedName name="_xlchart.v1.15" hidden="1">'trnsactions data'!$N$2:$N$101</definedName>
    <definedName name="_xlchart.v1.2" hidden="1">'trnsactions data'!$I$2:$I$101</definedName>
    <definedName name="_xlchart.v1.3" hidden="1">'trnsactions data'!$J$2:$J$101</definedName>
    <definedName name="_xlchart.v1.4" hidden="1">'trnsactions data'!$K$2:$K$101</definedName>
    <definedName name="_xlchart.v1.5" hidden="1">'trnsactions data'!$L$2:$L$101</definedName>
    <definedName name="_xlchart.v1.6" hidden="1">'trnsactions data'!$M$2:$M$101</definedName>
    <definedName name="_xlchart.v1.7" hidden="1">'trnsactions data'!$N$2:$N$101</definedName>
    <definedName name="_xlchart.v1.8" hidden="1">'trnsactions data'!$A$2:$G$101</definedName>
    <definedName name="_xlchart.v1.9" hidden="1">'trnsactions data'!$H$2:$H$101</definedName>
  </definedNames>
  <calcPr calcId="191029"/>
  <pivotCaches>
    <pivotCache cacheId="290" r:id="rId4"/>
    <pivotCache cacheId="291" r:id="rId5"/>
    <pivotCache cacheId="292" r:id="rId6"/>
    <pivotCache cacheId="293" r:id="rId7"/>
    <pivotCache cacheId="294" r:id="rId8"/>
    <pivotCache cacheId="295" r:id="rId9"/>
    <pivotCache cacheId="296" r:id="rId10"/>
    <pivotCache cacheId="297" r:id="rId11"/>
    <pivotCache cacheId="298" r:id="rId12"/>
    <pivotCache cacheId="299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W29" i="1" l="1"/>
  <c r="W40" i="1"/>
  <c r="W33" i="1"/>
  <c r="V33" i="1"/>
  <c r="W20" i="1"/>
  <c r="W14" i="1"/>
  <c r="W12" i="1"/>
  <c r="R10" i="1"/>
  <c r="W25" i="1" s="1"/>
  <c r="R29" i="1"/>
  <c r="R28" i="1"/>
  <c r="R27" i="1"/>
  <c r="R26" i="1"/>
  <c r="R22" i="1"/>
  <c r="R21" i="1"/>
  <c r="R20" i="1"/>
  <c r="R19" i="1"/>
  <c r="R14" i="1"/>
  <c r="R13" i="1"/>
  <c r="R12" i="1"/>
  <c r="R11" i="1"/>
</calcChain>
</file>

<file path=xl/sharedStrings.xml><?xml version="1.0" encoding="utf-8"?>
<sst xmlns="http://schemas.openxmlformats.org/spreadsheetml/2006/main" count="1261" uniqueCount="511">
  <si>
    <t>Transaction_ID</t>
  </si>
  <si>
    <t>Transaction_Date</t>
  </si>
  <si>
    <t>Transaction_Time</t>
  </si>
  <si>
    <t>Customer_ID</t>
  </si>
  <si>
    <t>Merchant_ID</t>
  </si>
  <si>
    <t>Payment_Method</t>
  </si>
  <si>
    <t>Transaction_Type</t>
  </si>
  <si>
    <t>Amount</t>
  </si>
  <si>
    <t>Currency</t>
  </si>
  <si>
    <t>Status</t>
  </si>
  <si>
    <t>Failure_Reason</t>
  </si>
  <si>
    <t>Platform_Fee</t>
  </si>
  <si>
    <t>Merchant_Payable</t>
  </si>
  <si>
    <t>Country</t>
  </si>
  <si>
    <t>T0001</t>
  </si>
  <si>
    <t>1/18/2025</t>
  </si>
  <si>
    <t>0:53:56</t>
  </si>
  <si>
    <t>CUST7804</t>
  </si>
  <si>
    <t>MER706</t>
  </si>
  <si>
    <t>Debit Card</t>
  </si>
  <si>
    <t>Subscription</t>
  </si>
  <si>
    <t>INR</t>
  </si>
  <si>
    <t>Failed</t>
  </si>
  <si>
    <t>Network Error</t>
  </si>
  <si>
    <t>USA</t>
  </si>
  <si>
    <t>T0002</t>
  </si>
  <si>
    <t>1/27/2025</t>
  </si>
  <si>
    <t>15:15:08</t>
  </si>
  <si>
    <t>CUST6500</t>
  </si>
  <si>
    <t>MER882</t>
  </si>
  <si>
    <t>Refund</t>
  </si>
  <si>
    <t>USD</t>
  </si>
  <si>
    <t>Insufficient Funds</t>
  </si>
  <si>
    <t>T0003</t>
  </si>
  <si>
    <t>1/14/2025</t>
  </si>
  <si>
    <t>20:31:23</t>
  </si>
  <si>
    <t>CUST3480</t>
  </si>
  <si>
    <t>MER797</t>
  </si>
  <si>
    <t>UPI</t>
  </si>
  <si>
    <t>Card Expired</t>
  </si>
  <si>
    <t>Australia</t>
  </si>
  <si>
    <t>T0004</t>
  </si>
  <si>
    <t>1/3/2025</t>
  </si>
  <si>
    <t>18:01:55</t>
  </si>
  <si>
    <t>CUST3978</t>
  </si>
  <si>
    <t>MER166</t>
  </si>
  <si>
    <t>Wallet</t>
  </si>
  <si>
    <t>Purchase</t>
  </si>
  <si>
    <t>Success</t>
  </si>
  <si>
    <t>Completed</t>
  </si>
  <si>
    <t>Canada</t>
  </si>
  <si>
    <t>T0005</t>
  </si>
  <si>
    <t>1/2/2025</t>
  </si>
  <si>
    <t>8:46:30</t>
  </si>
  <si>
    <t>CUST7766</t>
  </si>
  <si>
    <t>MER620</t>
  </si>
  <si>
    <t>Net Banking</t>
  </si>
  <si>
    <t>T0006</t>
  </si>
  <si>
    <t>1/29/2025</t>
  </si>
  <si>
    <t>11:33:00</t>
  </si>
  <si>
    <t>CUST1423</t>
  </si>
  <si>
    <t>MER587</t>
  </si>
  <si>
    <t>UK</t>
  </si>
  <si>
    <t>T0007</t>
  </si>
  <si>
    <t>18:26:29</t>
  </si>
  <si>
    <t>CUST5609</t>
  </si>
  <si>
    <t>MER616</t>
  </si>
  <si>
    <t>T0008</t>
  </si>
  <si>
    <t>1/19/2025</t>
  </si>
  <si>
    <t>8:48:50</t>
  </si>
  <si>
    <t>CUST6471</t>
  </si>
  <si>
    <t>MER159</t>
  </si>
  <si>
    <t>T0009</t>
  </si>
  <si>
    <t>15:22:59</t>
  </si>
  <si>
    <t>CUST2524</t>
  </si>
  <si>
    <t>MER540</t>
  </si>
  <si>
    <t>T0010</t>
  </si>
  <si>
    <t>1/21/2025</t>
  </si>
  <si>
    <t>2:03:02</t>
  </si>
  <si>
    <t>CUST6594</t>
  </si>
  <si>
    <t>MER603</t>
  </si>
  <si>
    <t>GBP</t>
  </si>
  <si>
    <t>T0011</t>
  </si>
  <si>
    <t>1/12/2025</t>
  </si>
  <si>
    <t>7:53:35</t>
  </si>
  <si>
    <t>CUST7865</t>
  </si>
  <si>
    <t>MER707</t>
  </si>
  <si>
    <t>T0012</t>
  </si>
  <si>
    <t>1/11/2025</t>
  </si>
  <si>
    <t>8:57:22</t>
  </si>
  <si>
    <t>CUST6188</t>
  </si>
  <si>
    <t>MER561</t>
  </si>
  <si>
    <t>Credit Card</t>
  </si>
  <si>
    <t>T0013</t>
  </si>
  <si>
    <t>1/8/2025</t>
  </si>
  <si>
    <t>0:32:35</t>
  </si>
  <si>
    <t>CUST8175</t>
  </si>
  <si>
    <t>MER359</t>
  </si>
  <si>
    <t>AUD</t>
  </si>
  <si>
    <t>India</t>
  </si>
  <si>
    <t>T0014</t>
  </si>
  <si>
    <t>3:26:44</t>
  </si>
  <si>
    <t>CUST6623</t>
  </si>
  <si>
    <t>MER551</t>
  </si>
  <si>
    <t>CAD</t>
  </si>
  <si>
    <t>T0015</t>
  </si>
  <si>
    <t>1/16/2025</t>
  </si>
  <si>
    <t>4:05:55</t>
  </si>
  <si>
    <t>CUST5095</t>
  </si>
  <si>
    <t>MER282</t>
  </si>
  <si>
    <t>Invalid PIN</t>
  </si>
  <si>
    <t>T0016</t>
  </si>
  <si>
    <t>1/22/2025</t>
  </si>
  <si>
    <t>4:41:43</t>
  </si>
  <si>
    <t>CUST4684</t>
  </si>
  <si>
    <t>MER806</t>
  </si>
  <si>
    <t>T0017</t>
  </si>
  <si>
    <t>1/5/2025</t>
  </si>
  <si>
    <t>5:02:02</t>
  </si>
  <si>
    <t>CUST8821</t>
  </si>
  <si>
    <t>MER152</t>
  </si>
  <si>
    <t>T0018</t>
  </si>
  <si>
    <t>7:45:59</t>
  </si>
  <si>
    <t>CUST5935</t>
  </si>
  <si>
    <t>MER434</t>
  </si>
  <si>
    <t>T0019</t>
  </si>
  <si>
    <t>12:19:52</t>
  </si>
  <si>
    <t>MER241</t>
  </si>
  <si>
    <t>T0020</t>
  </si>
  <si>
    <t>1/1/2025</t>
  </si>
  <si>
    <t>3:34:34</t>
  </si>
  <si>
    <t>CUST3124</t>
  </si>
  <si>
    <t>MER543</t>
  </si>
  <si>
    <t>T0021</t>
  </si>
  <si>
    <t>17:04:39</t>
  </si>
  <si>
    <t>CUST3242</t>
  </si>
  <si>
    <t>MER429</t>
  </si>
  <si>
    <t>T0022</t>
  </si>
  <si>
    <t>1/6/2025</t>
  </si>
  <si>
    <t>19:16:01</t>
  </si>
  <si>
    <t>MER317</t>
  </si>
  <si>
    <t>T0023</t>
  </si>
  <si>
    <t>6:31:39</t>
  </si>
  <si>
    <t>CUST7870</t>
  </si>
  <si>
    <t>MER739</t>
  </si>
  <si>
    <t>T0024</t>
  </si>
  <si>
    <t>1:29:05</t>
  </si>
  <si>
    <t>CUST8329</t>
  </si>
  <si>
    <t>MER153</t>
  </si>
  <si>
    <t>T0025</t>
  </si>
  <si>
    <t>19:47:14</t>
  </si>
  <si>
    <t>CUST5541</t>
  </si>
  <si>
    <t>MER684</t>
  </si>
  <si>
    <t>T0026</t>
  </si>
  <si>
    <t>1/24/2025</t>
  </si>
  <si>
    <t>8:15:58</t>
  </si>
  <si>
    <t>CUST9555</t>
  </si>
  <si>
    <t>MER941</t>
  </si>
  <si>
    <t>T0027</t>
  </si>
  <si>
    <t>16:58:41</t>
  </si>
  <si>
    <t>CUST3259</t>
  </si>
  <si>
    <t>MER229</t>
  </si>
  <si>
    <t>T0028</t>
  </si>
  <si>
    <t>6:57:25</t>
  </si>
  <si>
    <t>CUST9501</t>
  </si>
  <si>
    <t>MER121</t>
  </si>
  <si>
    <t>T0029</t>
  </si>
  <si>
    <t>13:12:35</t>
  </si>
  <si>
    <t>CUST5653</t>
  </si>
  <si>
    <t>MER205</t>
  </si>
  <si>
    <t>T0030</t>
  </si>
  <si>
    <t>8:18:31</t>
  </si>
  <si>
    <t>CUST2412</t>
  </si>
  <si>
    <t>MER689</t>
  </si>
  <si>
    <t>T0031</t>
  </si>
  <si>
    <t>17:51:33</t>
  </si>
  <si>
    <t>CUST9989</t>
  </si>
  <si>
    <t>MER833</t>
  </si>
  <si>
    <t>T0032</t>
  </si>
  <si>
    <t>1/30/2025</t>
  </si>
  <si>
    <t>13:59:11</t>
  </si>
  <si>
    <t>CUST3812</t>
  </si>
  <si>
    <t>MER639</t>
  </si>
  <si>
    <t>T0033</t>
  </si>
  <si>
    <t>1/10/2025</t>
  </si>
  <si>
    <t>15:01:00</t>
  </si>
  <si>
    <t>CUST7383</t>
  </si>
  <si>
    <t>T0034</t>
  </si>
  <si>
    <t>13:04:56</t>
  </si>
  <si>
    <t>CUST1647</t>
  </si>
  <si>
    <t>MER195</t>
  </si>
  <si>
    <t>T0035</t>
  </si>
  <si>
    <t>4:56:48</t>
  </si>
  <si>
    <t>CUST3077</t>
  </si>
  <si>
    <t>MER846</t>
  </si>
  <si>
    <t>T0036</t>
  </si>
  <si>
    <t>4:29:38</t>
  </si>
  <si>
    <t>CUST4044</t>
  </si>
  <si>
    <t>MER747</t>
  </si>
  <si>
    <t>T0037</t>
  </si>
  <si>
    <t>15:19:56</t>
  </si>
  <si>
    <t>CUST1349</t>
  </si>
  <si>
    <t>MER417</t>
  </si>
  <si>
    <t>T0038</t>
  </si>
  <si>
    <t>1/31/2025</t>
  </si>
  <si>
    <t>22:43:57</t>
  </si>
  <si>
    <t>CUST7745</t>
  </si>
  <si>
    <t>MER165</t>
  </si>
  <si>
    <t>T0039</t>
  </si>
  <si>
    <t>1/7/2025</t>
  </si>
  <si>
    <t>17:03:44</t>
  </si>
  <si>
    <t>CUST7687</t>
  </si>
  <si>
    <t>MER726</t>
  </si>
  <si>
    <t>T0040</t>
  </si>
  <si>
    <t>1/25/2025</t>
  </si>
  <si>
    <t>7:05:57</t>
  </si>
  <si>
    <t>CUST5141</t>
  </si>
  <si>
    <t>MER607</t>
  </si>
  <si>
    <t>T0041</t>
  </si>
  <si>
    <t>10:44:16</t>
  </si>
  <si>
    <t>CUST4921</t>
  </si>
  <si>
    <t>MER775</t>
  </si>
  <si>
    <t>T0042</t>
  </si>
  <si>
    <t>1/17/2025</t>
  </si>
  <si>
    <t>19:56:26</t>
  </si>
  <si>
    <t>CUST7841</t>
  </si>
  <si>
    <t>MER976</t>
  </si>
  <si>
    <t>T0043</t>
  </si>
  <si>
    <t>1/28/2025</t>
  </si>
  <si>
    <t>4:41:08</t>
  </si>
  <si>
    <t>CUST9848</t>
  </si>
  <si>
    <t>MER360</t>
  </si>
  <si>
    <t>T0044</t>
  </si>
  <si>
    <t>11:00:40</t>
  </si>
  <si>
    <t>CUST3778</t>
  </si>
  <si>
    <t>MER208</t>
  </si>
  <si>
    <t>T0045</t>
  </si>
  <si>
    <t>7:01:13</t>
  </si>
  <si>
    <t>CUST7622</t>
  </si>
  <si>
    <t>MER467</t>
  </si>
  <si>
    <t>T0046</t>
  </si>
  <si>
    <t>6:23:04</t>
  </si>
  <si>
    <t>CUST4469</t>
  </si>
  <si>
    <t>MER548</t>
  </si>
  <si>
    <t>T0047</t>
  </si>
  <si>
    <t>1/20/2025</t>
  </si>
  <si>
    <t>6:29:29</t>
  </si>
  <si>
    <t>CUST8028</t>
  </si>
  <si>
    <t>MER669</t>
  </si>
  <si>
    <t>T0048</t>
  </si>
  <si>
    <t>2:28:51</t>
  </si>
  <si>
    <t>CUST5505</t>
  </si>
  <si>
    <t>MER934</t>
  </si>
  <si>
    <t>T0049</t>
  </si>
  <si>
    <t>1/15/2025</t>
  </si>
  <si>
    <t>23:58:05</t>
  </si>
  <si>
    <t>CUST9007</t>
  </si>
  <si>
    <t>MER342</t>
  </si>
  <si>
    <t>T0050</t>
  </si>
  <si>
    <t>12:21:16</t>
  </si>
  <si>
    <t>CUST4509</t>
  </si>
  <si>
    <t>MER327</t>
  </si>
  <si>
    <t>T0051</t>
  </si>
  <si>
    <t>23:26:24</t>
  </si>
  <si>
    <t>CUST1560</t>
  </si>
  <si>
    <t>MER676</t>
  </si>
  <si>
    <t>T0052</t>
  </si>
  <si>
    <t>15:59:13</t>
  </si>
  <si>
    <t>CUST8415</t>
  </si>
  <si>
    <t>MER769</t>
  </si>
  <si>
    <t>T0053</t>
  </si>
  <si>
    <t>23:58:11</t>
  </si>
  <si>
    <t>CUST6061</t>
  </si>
  <si>
    <t>MER949</t>
  </si>
  <si>
    <t>T0054</t>
  </si>
  <si>
    <t>15:14:00</t>
  </si>
  <si>
    <t>CUST3027</t>
  </si>
  <si>
    <t>MER341</t>
  </si>
  <si>
    <t>T0055</t>
  </si>
  <si>
    <t>11:15:49</t>
  </si>
  <si>
    <t>CUST3567</t>
  </si>
  <si>
    <t>MER240</t>
  </si>
  <si>
    <t>T0056</t>
  </si>
  <si>
    <t>8:24:37</t>
  </si>
  <si>
    <t>CUST1610</t>
  </si>
  <si>
    <t>MER263</t>
  </si>
  <si>
    <t>T0057</t>
  </si>
  <si>
    <t>21:44:12</t>
  </si>
  <si>
    <t>CUST1159</t>
  </si>
  <si>
    <t>MER366</t>
  </si>
  <si>
    <t>T0058</t>
  </si>
  <si>
    <t>5:13:37</t>
  </si>
  <si>
    <t>CUST5219</t>
  </si>
  <si>
    <t>MER396</t>
  </si>
  <si>
    <t>T0059</t>
  </si>
  <si>
    <t>14:58:25</t>
  </si>
  <si>
    <t>CUST6037</t>
  </si>
  <si>
    <t>MER590</t>
  </si>
  <si>
    <t>T0060</t>
  </si>
  <si>
    <t>1/26/2025</t>
  </si>
  <si>
    <t>9:16:53</t>
  </si>
  <si>
    <t>CUST7032</t>
  </si>
  <si>
    <t>MER702</t>
  </si>
  <si>
    <t>T0061</t>
  </si>
  <si>
    <t>3:25:17</t>
  </si>
  <si>
    <t>CUST3728</t>
  </si>
  <si>
    <t>MER681</t>
  </si>
  <si>
    <t>T0062</t>
  </si>
  <si>
    <t>12:06:08</t>
  </si>
  <si>
    <t>CUST8928</t>
  </si>
  <si>
    <t>MER142</t>
  </si>
  <si>
    <t>T0063</t>
  </si>
  <si>
    <t>9:31:53</t>
  </si>
  <si>
    <t>CUST1177</t>
  </si>
  <si>
    <t>MER628</t>
  </si>
  <si>
    <t>T0064</t>
  </si>
  <si>
    <t>8:33:24</t>
  </si>
  <si>
    <t>CUST1097</t>
  </si>
  <si>
    <t>MER821</t>
  </si>
  <si>
    <t>T0065</t>
  </si>
  <si>
    <t>2:12:45</t>
  </si>
  <si>
    <t>CUST5015</t>
  </si>
  <si>
    <t>T0066</t>
  </si>
  <si>
    <t>11:03:50</t>
  </si>
  <si>
    <t>CUST9490</t>
  </si>
  <si>
    <t>MER837</t>
  </si>
  <si>
    <t>T0067</t>
  </si>
  <si>
    <t>4:27:22</t>
  </si>
  <si>
    <t>CUST4028</t>
  </si>
  <si>
    <t>MER143</t>
  </si>
  <si>
    <t>T0068</t>
  </si>
  <si>
    <t>7:20:53</t>
  </si>
  <si>
    <t>CUST3964</t>
  </si>
  <si>
    <t>MER117</t>
  </si>
  <si>
    <t>T0069</t>
  </si>
  <si>
    <t>0:29:49</t>
  </si>
  <si>
    <t>CUST4674</t>
  </si>
  <si>
    <t>MER839</t>
  </si>
  <si>
    <t>T0070</t>
  </si>
  <si>
    <t>2:14:51</t>
  </si>
  <si>
    <t>CUST6364</t>
  </si>
  <si>
    <t>MER733</t>
  </si>
  <si>
    <t>T0071</t>
  </si>
  <si>
    <t>11:23:13</t>
  </si>
  <si>
    <t>CUST4437</t>
  </si>
  <si>
    <t>MER526</t>
  </si>
  <si>
    <t>T0072</t>
  </si>
  <si>
    <t>11:49:21</t>
  </si>
  <si>
    <t>CUST7592</t>
  </si>
  <si>
    <t>MER395</t>
  </si>
  <si>
    <t>T0073</t>
  </si>
  <si>
    <t>9:34:25</t>
  </si>
  <si>
    <t>CUST1198</t>
  </si>
  <si>
    <t>MER906</t>
  </si>
  <si>
    <t>T0074</t>
  </si>
  <si>
    <t>22:40:33</t>
  </si>
  <si>
    <t>CUST4604</t>
  </si>
  <si>
    <t>MER914</t>
  </si>
  <si>
    <t>T0075</t>
  </si>
  <si>
    <t>19:02:12</t>
  </si>
  <si>
    <t>CUST3959</t>
  </si>
  <si>
    <t>MER184</t>
  </si>
  <si>
    <t>T0076</t>
  </si>
  <si>
    <t>13:59:57</t>
  </si>
  <si>
    <t>CUST1986</t>
  </si>
  <si>
    <t>T0077</t>
  </si>
  <si>
    <t>11:01:15</t>
  </si>
  <si>
    <t>CUST1344</t>
  </si>
  <si>
    <t>MER661</t>
  </si>
  <si>
    <t>T0078</t>
  </si>
  <si>
    <t>8:55:07</t>
  </si>
  <si>
    <t>CUST4127</t>
  </si>
  <si>
    <t>MER426</t>
  </si>
  <si>
    <t>T0079</t>
  </si>
  <si>
    <t>11:03:33</t>
  </si>
  <si>
    <t>CUST3634</t>
  </si>
  <si>
    <t>MER167</t>
  </si>
  <si>
    <t>T0080</t>
  </si>
  <si>
    <t>19:00:28</t>
  </si>
  <si>
    <t>CUST4051</t>
  </si>
  <si>
    <t>MER731</t>
  </si>
  <si>
    <t>T0081</t>
  </si>
  <si>
    <t>13:51:03</t>
  </si>
  <si>
    <t>CUST6551</t>
  </si>
  <si>
    <t>T0082</t>
  </si>
  <si>
    <t>13:43:31</t>
  </si>
  <si>
    <t>CUST5590</t>
  </si>
  <si>
    <t>MER312</t>
  </si>
  <si>
    <t>T0083</t>
  </si>
  <si>
    <t>21:38:20</t>
  </si>
  <si>
    <t>CUST8982</t>
  </si>
  <si>
    <t>MER104</t>
  </si>
  <si>
    <t>T0084</t>
  </si>
  <si>
    <t>1/13/2025</t>
  </si>
  <si>
    <t>7:42:05</t>
  </si>
  <si>
    <t>CUST8445</t>
  </si>
  <si>
    <t>MER698</t>
  </si>
  <si>
    <t>T0085</t>
  </si>
  <si>
    <t>6:08:01</t>
  </si>
  <si>
    <t>CUST6819</t>
  </si>
  <si>
    <t>MER860</t>
  </si>
  <si>
    <t>T0086</t>
  </si>
  <si>
    <t>0:08:25</t>
  </si>
  <si>
    <t>CUST5604</t>
  </si>
  <si>
    <t>MER539</t>
  </si>
  <si>
    <t>T0087</t>
  </si>
  <si>
    <t>14:01:58</t>
  </si>
  <si>
    <t>CUST9246</t>
  </si>
  <si>
    <t>MER336</t>
  </si>
  <si>
    <t>T0088</t>
  </si>
  <si>
    <t>4:04:43</t>
  </si>
  <si>
    <t>CUST9828</t>
  </si>
  <si>
    <t>MER370</t>
  </si>
  <si>
    <t>T0089</t>
  </si>
  <si>
    <t>13:37:42</t>
  </si>
  <si>
    <t>CUST6277</t>
  </si>
  <si>
    <t>MER293</t>
  </si>
  <si>
    <t>T0090</t>
  </si>
  <si>
    <t>18:33:46</t>
  </si>
  <si>
    <t>CUST7059</t>
  </si>
  <si>
    <t>T0091</t>
  </si>
  <si>
    <t>21:38:43</t>
  </si>
  <si>
    <t>CUST7183</t>
  </si>
  <si>
    <t>T0092</t>
  </si>
  <si>
    <t>23:01:47</t>
  </si>
  <si>
    <t>CUST4543</t>
  </si>
  <si>
    <t>MER960</t>
  </si>
  <si>
    <t>T0093</t>
  </si>
  <si>
    <t>2:31:43</t>
  </si>
  <si>
    <t>CUST1682</t>
  </si>
  <si>
    <t>MER638</t>
  </si>
  <si>
    <t>T0094</t>
  </si>
  <si>
    <t>1/9/2025</t>
  </si>
  <si>
    <t>8:29:35</t>
  </si>
  <si>
    <t>CUST1477</t>
  </si>
  <si>
    <t>MER652</t>
  </si>
  <si>
    <t>T0095</t>
  </si>
  <si>
    <t>8:26:57</t>
  </si>
  <si>
    <t>CUST3544</t>
  </si>
  <si>
    <t>MER136</t>
  </si>
  <si>
    <t>T0096</t>
  </si>
  <si>
    <t>1/23/2025</t>
  </si>
  <si>
    <t>11:51:20</t>
  </si>
  <si>
    <t>CUST3952</t>
  </si>
  <si>
    <t>MER160</t>
  </si>
  <si>
    <t>T0097</t>
  </si>
  <si>
    <t>8:30:33</t>
  </si>
  <si>
    <t>CUST4239</t>
  </si>
  <si>
    <t>MER686</t>
  </si>
  <si>
    <t>T0098</t>
  </si>
  <si>
    <t>0:15:21</t>
  </si>
  <si>
    <t>CUST4006</t>
  </si>
  <si>
    <t>MER365</t>
  </si>
  <si>
    <t>T0099</t>
  </si>
  <si>
    <t>0:31:49</t>
  </si>
  <si>
    <t>CUST5449</t>
  </si>
  <si>
    <t>MER477</t>
  </si>
  <si>
    <t>T0100</t>
  </si>
  <si>
    <t>8:54:38</t>
  </si>
  <si>
    <t>CUST4036</t>
  </si>
  <si>
    <t>MER207</t>
  </si>
  <si>
    <t>Total Revenue</t>
  </si>
  <si>
    <t>Total Successful Transactions</t>
  </si>
  <si>
    <t>Total Platform Fee</t>
  </si>
  <si>
    <t>Merchant Payable</t>
  </si>
  <si>
    <t>Average Transaction Value</t>
  </si>
  <si>
    <t>Revenue by Payment Method</t>
  </si>
  <si>
    <t>KPI</t>
  </si>
  <si>
    <t>Creid Card</t>
  </si>
  <si>
    <t>Debit card</t>
  </si>
  <si>
    <t>Failure Analysis</t>
  </si>
  <si>
    <t>Total Insufficient Funds</t>
  </si>
  <si>
    <t>Network error</t>
  </si>
  <si>
    <t>PROFIT &amp; LOSS STATEMENT</t>
  </si>
  <si>
    <t>Column1</t>
  </si>
  <si>
    <t>Particulars</t>
  </si>
  <si>
    <t>Amount (₹)</t>
  </si>
  <si>
    <t>Platform Revenue</t>
  </si>
  <si>
    <t>Expenses</t>
  </si>
  <si>
    <t>Net Profit</t>
  </si>
  <si>
    <t>BALANCE SHEET</t>
  </si>
  <si>
    <t>Assets</t>
  </si>
  <si>
    <t>Asset</t>
  </si>
  <si>
    <t>Cash &amp; Bank</t>
  </si>
  <si>
    <t>Liabilities</t>
  </si>
  <si>
    <t>Liability</t>
  </si>
  <si>
    <t>Equity</t>
  </si>
  <si>
    <t>Retained Earnings</t>
  </si>
  <si>
    <t>Balanced:</t>
  </si>
  <si>
    <t>CASH FLOW STATEMENT</t>
  </si>
  <si>
    <t>Operating Activities</t>
  </si>
  <si>
    <t>Cash received from customers</t>
  </si>
  <si>
    <t>Cash paid to merchants</t>
  </si>
  <si>
    <t>Net Operating Cash Flow</t>
  </si>
  <si>
    <t>Successful Transaction Value</t>
  </si>
  <si>
    <t>Platform Revenue (2%)</t>
  </si>
  <si>
    <t>Merchant Settlement</t>
  </si>
  <si>
    <t>Cash Balance</t>
  </si>
  <si>
    <t>Sum of Amount</t>
  </si>
  <si>
    <t>Sum of Platform_Fee</t>
  </si>
  <si>
    <t>Sum of Merchant_Payable</t>
  </si>
  <si>
    <t>Row Labels</t>
  </si>
  <si>
    <t>Grand Total</t>
  </si>
  <si>
    <t>Count of Transaction_ID</t>
  </si>
  <si>
    <t>Journal Entries</t>
  </si>
  <si>
    <t>Account</t>
  </si>
  <si>
    <t>Debit</t>
  </si>
  <si>
    <t>Credit</t>
  </si>
  <si>
    <t>Cash/Bank/Wallet (Assets)</t>
  </si>
  <si>
    <t>To Sales Revenue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</si>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</sst>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vertical="center" wrapText="1"/>
    </xf>
    <xf numFmtId="4" fontId="2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[payment_transactions finance.xlsx]Charts!PivotTable22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Platform_Fee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Charts!$A$4:$A$8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773.47</c:v>
                </c:pt>
                <c:pt idx="1">
                  <c:v>374.59999999999991</c:v>
                </c:pt>
                <c:pt idx="2">
                  <c:v>343.05</c:v>
                </c:pt>
                <c:pt idx="3">
                  <c:v>497.2</c:v>
                </c:pt>
                <c:pt idx="4">
                  <c:v>532.52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A-40D7-B4D9-169466DFB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728464"/>
        <c:axId val="513724144"/>
      </c:barChart>
      <c:catAx>
        <c:axId val="51372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4144"/>
        <c:crosses val="autoZero"/>
        <c:auto val="1"/>
        <c:lblAlgn val="ctr"/>
        <c:lblOffset val="100"/>
        <c:noMultiLvlLbl val="0"/>
      </c:catAx>
      <c:valAx>
        <c:axId val="5137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Amount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UK</c:v>
              </c:pt>
              <c:pt idx="4">
                <c:v>USA</c:v>
              </c:pt>
            </c:strLit>
          </c:cat>
          <c:val>
            <c:numLit>
              <c:formatCode>General</c:formatCode>
              <c:ptCount val="5"/>
              <c:pt idx="0">
                <c:v>81389.75</c:v>
              </c:pt>
              <c:pt idx="1">
                <c:v>39935.499999999993</c:v>
              </c:pt>
              <c:pt idx="2">
                <c:v>52467.21</c:v>
              </c:pt>
              <c:pt idx="3">
                <c:v>31117.62</c:v>
              </c:pt>
              <c:pt idx="4">
                <c:v>56785.08</c:v>
              </c:pt>
            </c:numLit>
          </c:val>
          <c:extLst>
            <c:ext xmlns:c16="http://schemas.microsoft.com/office/drawing/2014/chart" uri="{C3380CC4-5D6E-409C-BE32-E72D297353CC}">
              <c16:uniqueId val="{00000000-FD9C-4D93-8E4A-2BDDE6B8F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681424"/>
        <c:axId val="513680944"/>
      </c:barChart>
      <c:catAx>
        <c:axId val="5136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0944"/>
        <c:crosses val="autoZero"/>
        <c:auto val="1"/>
        <c:lblAlgn val="ctr"/>
        <c:lblOffset val="100"/>
        <c:noMultiLvlLbl val="0"/>
      </c:catAx>
      <c:valAx>
        <c:axId val="5136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Platform_Fee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AUD</c:v>
              </c:pt>
              <c:pt idx="1">
                <c:v>CAD</c:v>
              </c:pt>
              <c:pt idx="2">
                <c:v>GBP</c:v>
              </c:pt>
              <c:pt idx="3">
                <c:v>INR</c:v>
              </c:pt>
              <c:pt idx="4">
                <c:v>USD</c:v>
              </c:pt>
            </c:strLit>
          </c:cat>
          <c:val>
            <c:numLit>
              <c:formatCode>General</c:formatCode>
              <c:ptCount val="5"/>
              <c:pt idx="0">
                <c:v>337.8</c:v>
              </c:pt>
              <c:pt idx="1">
                <c:v>688.77</c:v>
              </c:pt>
              <c:pt idx="2">
                <c:v>558.34</c:v>
              </c:pt>
              <c:pt idx="3">
                <c:v>541.12999999999988</c:v>
              </c:pt>
              <c:pt idx="4">
                <c:v>394.79999999999995</c:v>
              </c:pt>
            </c:numLit>
          </c:val>
          <c:extLst>
            <c:ext xmlns:c16="http://schemas.microsoft.com/office/drawing/2014/chart" uri="{C3380CC4-5D6E-409C-BE32-E72D297353CC}">
              <c16:uniqueId val="{00000000-6DE4-4C5F-A284-3CF122E00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743824"/>
        <c:axId val="513741424"/>
      </c:barChart>
      <c:catAx>
        <c:axId val="51374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41424"/>
        <c:crosses val="autoZero"/>
        <c:auto val="1"/>
        <c:lblAlgn val="ctr"/>
        <c:lblOffset val="100"/>
        <c:noMultiLvlLbl val="0"/>
      </c:catAx>
      <c:valAx>
        <c:axId val="5137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4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Merchant_Payable by Payment_Method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Credit Card</c:v>
              </c:pt>
              <c:pt idx="1">
                <c:v>Debit Card</c:v>
              </c:pt>
              <c:pt idx="2">
                <c:v>Net Banking</c:v>
              </c:pt>
              <c:pt idx="3">
                <c:v>UPI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31337.22</c:v>
              </c:pt>
              <c:pt idx="1">
                <c:v>5458.41</c:v>
              </c:pt>
              <c:pt idx="2">
                <c:v>24738.240000000005</c:v>
              </c:pt>
              <c:pt idx="3">
                <c:v>21921.620000000003</c:v>
              </c:pt>
              <c:pt idx="4">
                <c:v>40066.080000000002</c:v>
              </c:pt>
            </c:numLit>
          </c:val>
          <c:extLst>
            <c:ext xmlns:c16="http://schemas.microsoft.com/office/drawing/2014/chart" uri="{C3380CC4-5D6E-409C-BE32-E72D297353CC}">
              <c16:uniqueId val="{00000000-779C-474A-BF71-22BB064D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697744"/>
        <c:axId val="513705904"/>
      </c:barChart>
      <c:catAx>
        <c:axId val="51369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05904"/>
        <c:crosses val="autoZero"/>
        <c:auto val="1"/>
        <c:lblAlgn val="ctr"/>
        <c:lblOffset val="100"/>
        <c:noMultiLvlLbl val="0"/>
      </c:catAx>
      <c:valAx>
        <c:axId val="5137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9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Amount by Failure_Reason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 Expired</c:v>
              </c:pt>
              <c:pt idx="1">
                <c:v>Completed</c:v>
              </c:pt>
              <c:pt idx="2">
                <c:v>Insufficient Funds</c:v>
              </c:pt>
              <c:pt idx="3">
                <c:v>Invalid PIN</c:v>
              </c:pt>
              <c:pt idx="4">
                <c:v>Network Error</c:v>
              </c:pt>
            </c:strLit>
          </c:cat>
          <c:val>
            <c:numLit>
              <c:formatCode>General</c:formatCode>
              <c:ptCount val="5"/>
              <c:pt idx="0">
                <c:v>41889.26</c:v>
              </c:pt>
              <c:pt idx="1">
                <c:v>155045.24999999994</c:v>
              </c:pt>
              <c:pt idx="2">
                <c:v>31480.840000000004</c:v>
              </c:pt>
              <c:pt idx="3">
                <c:v>22461.98</c:v>
              </c:pt>
              <c:pt idx="4">
                <c:v>10817.83</c:v>
              </c:pt>
            </c:numLit>
          </c:val>
          <c:extLst>
            <c:ext xmlns:c16="http://schemas.microsoft.com/office/drawing/2014/chart" uri="{C3380CC4-5D6E-409C-BE32-E72D297353CC}">
              <c16:uniqueId val="{00000000-6F25-4398-ACAD-91C7CA7B8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16000"/>
        <c:axId val="555527040"/>
      </c:barChart>
      <c:catAx>
        <c:axId val="55551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27040"/>
        <c:crosses val="autoZero"/>
        <c:auto val="1"/>
        <c:lblAlgn val="ctr"/>
        <c:lblOffset val="100"/>
        <c:noMultiLvlLbl val="0"/>
      </c:catAx>
      <c:valAx>
        <c:axId val="55552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1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data'!$H$2:$H$101</c:f>
              <c:numCache>
                <c:formatCode>General</c:formatCode>
                <c:ptCount val="100"/>
                <c:pt idx="0">
                  <c:v>1266.76</c:v>
                </c:pt>
                <c:pt idx="1">
                  <c:v>3433.6</c:v>
                </c:pt>
                <c:pt idx="2">
                  <c:v>4534.18</c:v>
                </c:pt>
                <c:pt idx="3">
                  <c:v>2978.47</c:v>
                </c:pt>
                <c:pt idx="4">
                  <c:v>3690.48</c:v>
                </c:pt>
                <c:pt idx="5">
                  <c:v>1119.6300000000001</c:v>
                </c:pt>
                <c:pt idx="6">
                  <c:v>4818.3999999999996</c:v>
                </c:pt>
                <c:pt idx="7">
                  <c:v>1965.15</c:v>
                </c:pt>
                <c:pt idx="8">
                  <c:v>4603.96</c:v>
                </c:pt>
                <c:pt idx="9">
                  <c:v>2990.19</c:v>
                </c:pt>
                <c:pt idx="10">
                  <c:v>2396.3200000000002</c:v>
                </c:pt>
                <c:pt idx="11">
                  <c:v>131.27000000000001</c:v>
                </c:pt>
                <c:pt idx="12">
                  <c:v>4861.8</c:v>
                </c:pt>
                <c:pt idx="13">
                  <c:v>4513.13</c:v>
                </c:pt>
                <c:pt idx="14">
                  <c:v>3282.68</c:v>
                </c:pt>
                <c:pt idx="15">
                  <c:v>1727.92</c:v>
                </c:pt>
                <c:pt idx="16">
                  <c:v>3887.27</c:v>
                </c:pt>
                <c:pt idx="17">
                  <c:v>1856.42</c:v>
                </c:pt>
                <c:pt idx="18">
                  <c:v>3386.06</c:v>
                </c:pt>
                <c:pt idx="19">
                  <c:v>3763.53</c:v>
                </c:pt>
                <c:pt idx="20">
                  <c:v>2169.5500000000002</c:v>
                </c:pt>
                <c:pt idx="21">
                  <c:v>4058.95</c:v>
                </c:pt>
                <c:pt idx="22">
                  <c:v>365.03</c:v>
                </c:pt>
                <c:pt idx="23">
                  <c:v>4534.22</c:v>
                </c:pt>
                <c:pt idx="24">
                  <c:v>191.69</c:v>
                </c:pt>
                <c:pt idx="25">
                  <c:v>3170.77</c:v>
                </c:pt>
                <c:pt idx="26">
                  <c:v>1501.47</c:v>
                </c:pt>
                <c:pt idx="27">
                  <c:v>228.92</c:v>
                </c:pt>
                <c:pt idx="28">
                  <c:v>2201.7199999999998</c:v>
                </c:pt>
                <c:pt idx="29">
                  <c:v>4229.42</c:v>
                </c:pt>
                <c:pt idx="30">
                  <c:v>958.62</c:v>
                </c:pt>
                <c:pt idx="31">
                  <c:v>2568.09</c:v>
                </c:pt>
                <c:pt idx="32">
                  <c:v>376.7</c:v>
                </c:pt>
                <c:pt idx="33">
                  <c:v>4845.1400000000003</c:v>
                </c:pt>
                <c:pt idx="34">
                  <c:v>1440.19</c:v>
                </c:pt>
                <c:pt idx="35">
                  <c:v>4063.21</c:v>
                </c:pt>
                <c:pt idx="36">
                  <c:v>853.37</c:v>
                </c:pt>
                <c:pt idx="37">
                  <c:v>3755.03</c:v>
                </c:pt>
                <c:pt idx="38">
                  <c:v>4059.05</c:v>
                </c:pt>
                <c:pt idx="39">
                  <c:v>3023.24</c:v>
                </c:pt>
                <c:pt idx="40">
                  <c:v>588.4</c:v>
                </c:pt>
                <c:pt idx="41">
                  <c:v>157.19999999999999</c:v>
                </c:pt>
                <c:pt idx="42">
                  <c:v>3207.77</c:v>
                </c:pt>
                <c:pt idx="43">
                  <c:v>4810.12</c:v>
                </c:pt>
                <c:pt idx="44">
                  <c:v>2592.4499999999998</c:v>
                </c:pt>
                <c:pt idx="45">
                  <c:v>1214.9100000000001</c:v>
                </c:pt>
                <c:pt idx="46">
                  <c:v>1528.95</c:v>
                </c:pt>
                <c:pt idx="47">
                  <c:v>730.12</c:v>
                </c:pt>
                <c:pt idx="48">
                  <c:v>4650.09</c:v>
                </c:pt>
                <c:pt idx="49">
                  <c:v>3209.93</c:v>
                </c:pt>
                <c:pt idx="50">
                  <c:v>3849.15</c:v>
                </c:pt>
                <c:pt idx="51">
                  <c:v>145.56</c:v>
                </c:pt>
                <c:pt idx="52">
                  <c:v>2645.24</c:v>
                </c:pt>
                <c:pt idx="53">
                  <c:v>4790.95</c:v>
                </c:pt>
                <c:pt idx="54">
                  <c:v>297.3</c:v>
                </c:pt>
                <c:pt idx="55">
                  <c:v>1428.65</c:v>
                </c:pt>
                <c:pt idx="56">
                  <c:v>3719.31</c:v>
                </c:pt>
                <c:pt idx="57">
                  <c:v>3601.1</c:v>
                </c:pt>
                <c:pt idx="58">
                  <c:v>3281.14</c:v>
                </c:pt>
                <c:pt idx="59">
                  <c:v>1669.54</c:v>
                </c:pt>
                <c:pt idx="60">
                  <c:v>1160.6300000000001</c:v>
                </c:pt>
                <c:pt idx="61">
                  <c:v>1120.8900000000001</c:v>
                </c:pt>
                <c:pt idx="62">
                  <c:v>1329.5</c:v>
                </c:pt>
                <c:pt idx="63">
                  <c:v>3216.19</c:v>
                </c:pt>
                <c:pt idx="64">
                  <c:v>3005.94</c:v>
                </c:pt>
                <c:pt idx="65">
                  <c:v>3716.34</c:v>
                </c:pt>
                <c:pt idx="66">
                  <c:v>2905.35</c:v>
                </c:pt>
                <c:pt idx="67">
                  <c:v>2920.18</c:v>
                </c:pt>
                <c:pt idx="68">
                  <c:v>1150.1400000000001</c:v>
                </c:pt>
                <c:pt idx="69">
                  <c:v>1350.42</c:v>
                </c:pt>
                <c:pt idx="70">
                  <c:v>4682.4799999999996</c:v>
                </c:pt>
                <c:pt idx="71">
                  <c:v>284.18</c:v>
                </c:pt>
                <c:pt idx="72">
                  <c:v>4143.62</c:v>
                </c:pt>
                <c:pt idx="73">
                  <c:v>405.04</c:v>
                </c:pt>
                <c:pt idx="74">
                  <c:v>226.51</c:v>
                </c:pt>
                <c:pt idx="75">
                  <c:v>1414.17</c:v>
                </c:pt>
                <c:pt idx="76">
                  <c:v>4164.8</c:v>
                </c:pt>
                <c:pt idx="77">
                  <c:v>923.44</c:v>
                </c:pt>
                <c:pt idx="78">
                  <c:v>3585.36</c:v>
                </c:pt>
                <c:pt idx="79">
                  <c:v>332.55</c:v>
                </c:pt>
                <c:pt idx="80">
                  <c:v>4215.55</c:v>
                </c:pt>
                <c:pt idx="81">
                  <c:v>3386.76</c:v>
                </c:pt>
                <c:pt idx="82">
                  <c:v>3307</c:v>
                </c:pt>
                <c:pt idx="83">
                  <c:v>1946.68</c:v>
                </c:pt>
                <c:pt idx="84">
                  <c:v>3141.59</c:v>
                </c:pt>
                <c:pt idx="85">
                  <c:v>1830.94</c:v>
                </c:pt>
                <c:pt idx="86">
                  <c:v>4768.07</c:v>
                </c:pt>
                <c:pt idx="87">
                  <c:v>3189.18</c:v>
                </c:pt>
                <c:pt idx="88">
                  <c:v>2314.25</c:v>
                </c:pt>
                <c:pt idx="89">
                  <c:v>1940.52</c:v>
                </c:pt>
                <c:pt idx="90">
                  <c:v>2454.9699999999998</c:v>
                </c:pt>
                <c:pt idx="91">
                  <c:v>4548.04</c:v>
                </c:pt>
                <c:pt idx="92">
                  <c:v>4750.95</c:v>
                </c:pt>
                <c:pt idx="93">
                  <c:v>839.69</c:v>
                </c:pt>
                <c:pt idx="94">
                  <c:v>4733.71</c:v>
                </c:pt>
                <c:pt idx="95">
                  <c:v>983.95</c:v>
                </c:pt>
                <c:pt idx="96">
                  <c:v>2306.11</c:v>
                </c:pt>
                <c:pt idx="97">
                  <c:v>3902.86</c:v>
                </c:pt>
                <c:pt idx="98">
                  <c:v>2455.27</c:v>
                </c:pt>
                <c:pt idx="99">
                  <c:v>4721.8599999999997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1-4565-B857-A4281B831E76}"/>
            </c:ext>
          </c:extLst>
        </c:ser>
        <c:ser>
          <c:idx val="1"/>
          <c:order val="1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data'!$I$2:$I$101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1-4565-B857-A4281B831E76}"/>
            </c:ext>
          </c:extLst>
        </c:ser>
        <c:ser>
          <c:idx val="2"/>
          <c:order val="2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data'!$J$2:$J$101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51-4565-B857-A4281B831E76}"/>
            </c:ext>
          </c:extLst>
        </c:ser>
        <c:ser>
          <c:idx val="3"/>
          <c:order val="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data'!$K$2:$K$101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51-4565-B857-A4281B831E76}"/>
            </c:ext>
          </c:extLst>
        </c:ser>
        <c:ser>
          <c:idx val="4"/>
          <c:order val="4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data'!$L$2:$L$101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59.57</c:v>
                </c:pt>
                <c:pt idx="4">
                  <c:v>0</c:v>
                </c:pt>
                <c:pt idx="5">
                  <c:v>22.39</c:v>
                </c:pt>
                <c:pt idx="6">
                  <c:v>96.37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47.93</c:v>
                </c:pt>
                <c:pt idx="11">
                  <c:v>2.63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34.56</c:v>
                </c:pt>
                <c:pt idx="16">
                  <c:v>77.75</c:v>
                </c:pt>
                <c:pt idx="17">
                  <c:v>0</c:v>
                </c:pt>
                <c:pt idx="18">
                  <c:v>0</c:v>
                </c:pt>
                <c:pt idx="19">
                  <c:v>75.27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90.68</c:v>
                </c:pt>
                <c:pt idx="24">
                  <c:v>3.83</c:v>
                </c:pt>
                <c:pt idx="25">
                  <c:v>63.42</c:v>
                </c:pt>
                <c:pt idx="26">
                  <c:v>30.03</c:v>
                </c:pt>
                <c:pt idx="27">
                  <c:v>4.58</c:v>
                </c:pt>
                <c:pt idx="28">
                  <c:v>44.03</c:v>
                </c:pt>
                <c:pt idx="29">
                  <c:v>84.59</c:v>
                </c:pt>
                <c:pt idx="30">
                  <c:v>0</c:v>
                </c:pt>
                <c:pt idx="31">
                  <c:v>51.36</c:v>
                </c:pt>
                <c:pt idx="32">
                  <c:v>7.53</c:v>
                </c:pt>
                <c:pt idx="33">
                  <c:v>96.9</c:v>
                </c:pt>
                <c:pt idx="34">
                  <c:v>0</c:v>
                </c:pt>
                <c:pt idx="35">
                  <c:v>0</c:v>
                </c:pt>
                <c:pt idx="36">
                  <c:v>17.07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11.77</c:v>
                </c:pt>
                <c:pt idx="41">
                  <c:v>3.14</c:v>
                </c:pt>
                <c:pt idx="42">
                  <c:v>64.16</c:v>
                </c:pt>
                <c:pt idx="43">
                  <c:v>96.2</c:v>
                </c:pt>
                <c:pt idx="44">
                  <c:v>51.85</c:v>
                </c:pt>
                <c:pt idx="45">
                  <c:v>24.3</c:v>
                </c:pt>
                <c:pt idx="46">
                  <c:v>30.58</c:v>
                </c:pt>
                <c:pt idx="47">
                  <c:v>14.6</c:v>
                </c:pt>
                <c:pt idx="48">
                  <c:v>0</c:v>
                </c:pt>
                <c:pt idx="49">
                  <c:v>0</c:v>
                </c:pt>
                <c:pt idx="50">
                  <c:v>76.98</c:v>
                </c:pt>
                <c:pt idx="51">
                  <c:v>2.91</c:v>
                </c:pt>
                <c:pt idx="52">
                  <c:v>0</c:v>
                </c:pt>
                <c:pt idx="53">
                  <c:v>95.82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72.02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22.42</c:v>
                </c:pt>
                <c:pt idx="62">
                  <c:v>0</c:v>
                </c:pt>
                <c:pt idx="63">
                  <c:v>64.319999999999993</c:v>
                </c:pt>
                <c:pt idx="64">
                  <c:v>0</c:v>
                </c:pt>
                <c:pt idx="65">
                  <c:v>74.33</c:v>
                </c:pt>
                <c:pt idx="66">
                  <c:v>0</c:v>
                </c:pt>
                <c:pt idx="67">
                  <c:v>58.4</c:v>
                </c:pt>
                <c:pt idx="68">
                  <c:v>0</c:v>
                </c:pt>
                <c:pt idx="69">
                  <c:v>27.01</c:v>
                </c:pt>
                <c:pt idx="70">
                  <c:v>93.65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4.53</c:v>
                </c:pt>
                <c:pt idx="75">
                  <c:v>28.28</c:v>
                </c:pt>
                <c:pt idx="76">
                  <c:v>83.3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38.93</c:v>
                </c:pt>
                <c:pt idx="84">
                  <c:v>0</c:v>
                </c:pt>
                <c:pt idx="85">
                  <c:v>36.619999999999997</c:v>
                </c:pt>
                <c:pt idx="86">
                  <c:v>95.36</c:v>
                </c:pt>
                <c:pt idx="87">
                  <c:v>63.78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90.96</c:v>
                </c:pt>
                <c:pt idx="92">
                  <c:v>95.02</c:v>
                </c:pt>
                <c:pt idx="93">
                  <c:v>0</c:v>
                </c:pt>
                <c:pt idx="94">
                  <c:v>94.67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94.44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51-4565-B857-A4281B831E76}"/>
            </c:ext>
          </c:extLst>
        </c:ser>
        <c:ser>
          <c:idx val="5"/>
          <c:order val="5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data'!$M$2:$M$101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2918.9</c:v>
                </c:pt>
                <c:pt idx="4">
                  <c:v>0</c:v>
                </c:pt>
                <c:pt idx="5">
                  <c:v>1097.24</c:v>
                </c:pt>
                <c:pt idx="6">
                  <c:v>4722.03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2348.39</c:v>
                </c:pt>
                <c:pt idx="11">
                  <c:v>128.63999999999999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1693.36</c:v>
                </c:pt>
                <c:pt idx="16">
                  <c:v>3809.52</c:v>
                </c:pt>
                <c:pt idx="17">
                  <c:v>0</c:v>
                </c:pt>
                <c:pt idx="18">
                  <c:v>0</c:v>
                </c:pt>
                <c:pt idx="19">
                  <c:v>3688.26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4443.54</c:v>
                </c:pt>
                <c:pt idx="24">
                  <c:v>187.86</c:v>
                </c:pt>
                <c:pt idx="25">
                  <c:v>3107.35</c:v>
                </c:pt>
                <c:pt idx="26">
                  <c:v>1471.44</c:v>
                </c:pt>
                <c:pt idx="27">
                  <c:v>224.34</c:v>
                </c:pt>
                <c:pt idx="28">
                  <c:v>2157.69</c:v>
                </c:pt>
                <c:pt idx="29">
                  <c:v>4144.83</c:v>
                </c:pt>
                <c:pt idx="30">
                  <c:v>0</c:v>
                </c:pt>
                <c:pt idx="31">
                  <c:v>2516.73</c:v>
                </c:pt>
                <c:pt idx="32">
                  <c:v>369.17</c:v>
                </c:pt>
                <c:pt idx="33">
                  <c:v>4748.24</c:v>
                </c:pt>
                <c:pt idx="34">
                  <c:v>0</c:v>
                </c:pt>
                <c:pt idx="35">
                  <c:v>0</c:v>
                </c:pt>
                <c:pt idx="36">
                  <c:v>836.3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576.63</c:v>
                </c:pt>
                <c:pt idx="41">
                  <c:v>154.06</c:v>
                </c:pt>
                <c:pt idx="42">
                  <c:v>3143.61</c:v>
                </c:pt>
                <c:pt idx="43">
                  <c:v>4713.92</c:v>
                </c:pt>
                <c:pt idx="44">
                  <c:v>2540.6</c:v>
                </c:pt>
                <c:pt idx="45">
                  <c:v>1190.6099999999999</c:v>
                </c:pt>
                <c:pt idx="46">
                  <c:v>1498.37</c:v>
                </c:pt>
                <c:pt idx="47">
                  <c:v>715.52</c:v>
                </c:pt>
                <c:pt idx="48">
                  <c:v>0</c:v>
                </c:pt>
                <c:pt idx="49">
                  <c:v>0</c:v>
                </c:pt>
                <c:pt idx="50">
                  <c:v>3772.17</c:v>
                </c:pt>
                <c:pt idx="51">
                  <c:v>142.65</c:v>
                </c:pt>
                <c:pt idx="52">
                  <c:v>0</c:v>
                </c:pt>
                <c:pt idx="53">
                  <c:v>4695.13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3529.08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1098.47</c:v>
                </c:pt>
                <c:pt idx="62">
                  <c:v>0</c:v>
                </c:pt>
                <c:pt idx="63">
                  <c:v>3151.87</c:v>
                </c:pt>
                <c:pt idx="64">
                  <c:v>0</c:v>
                </c:pt>
                <c:pt idx="65">
                  <c:v>3642.01</c:v>
                </c:pt>
                <c:pt idx="66">
                  <c:v>0</c:v>
                </c:pt>
                <c:pt idx="67">
                  <c:v>2861.78</c:v>
                </c:pt>
                <c:pt idx="68">
                  <c:v>0</c:v>
                </c:pt>
                <c:pt idx="69">
                  <c:v>1323.41</c:v>
                </c:pt>
                <c:pt idx="70">
                  <c:v>4588.83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221.98</c:v>
                </c:pt>
                <c:pt idx="75">
                  <c:v>1385.89</c:v>
                </c:pt>
                <c:pt idx="76">
                  <c:v>4081.5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1907.75</c:v>
                </c:pt>
                <c:pt idx="84">
                  <c:v>0</c:v>
                </c:pt>
                <c:pt idx="85">
                  <c:v>1794.32</c:v>
                </c:pt>
                <c:pt idx="86">
                  <c:v>4672.71</c:v>
                </c:pt>
                <c:pt idx="87">
                  <c:v>3125.4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4457.08</c:v>
                </c:pt>
                <c:pt idx="92">
                  <c:v>4655.93</c:v>
                </c:pt>
                <c:pt idx="93">
                  <c:v>0</c:v>
                </c:pt>
                <c:pt idx="94">
                  <c:v>4639.04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4627.42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51-4565-B857-A4281B831E76}"/>
            </c:ext>
          </c:extLst>
        </c:ser>
        <c:ser>
          <c:idx val="6"/>
          <c:order val="6"/>
          <c:spPr>
            <a:ln w="28575" cap="rnd">
              <a:solidFill>
                <a:schemeClr val="accent2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51-4565-B857-A4281B831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686224"/>
        <c:axId val="513693904"/>
      </c:lineChart>
      <c:catAx>
        <c:axId val="51368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93904"/>
        <c:crosses val="autoZero"/>
        <c:auto val="1"/>
        <c:lblAlgn val="ctr"/>
        <c:lblOffset val="100"/>
        <c:noMultiLvlLbl val="0"/>
      </c:catAx>
      <c:valAx>
        <c:axId val="51369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2">
                <a:shade val="47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data'!$H$2:$H$101</c:f>
              <c:numCache>
                <c:formatCode>General</c:formatCode>
                <c:ptCount val="100"/>
                <c:pt idx="0">
                  <c:v>1266.76</c:v>
                </c:pt>
                <c:pt idx="1">
                  <c:v>3433.6</c:v>
                </c:pt>
                <c:pt idx="2">
                  <c:v>4534.18</c:v>
                </c:pt>
                <c:pt idx="3">
                  <c:v>2978.47</c:v>
                </c:pt>
                <c:pt idx="4">
                  <c:v>3690.48</c:v>
                </c:pt>
                <c:pt idx="5">
                  <c:v>1119.6300000000001</c:v>
                </c:pt>
                <c:pt idx="6">
                  <c:v>4818.3999999999996</c:v>
                </c:pt>
                <c:pt idx="7">
                  <c:v>1965.15</c:v>
                </c:pt>
                <c:pt idx="8">
                  <c:v>4603.96</c:v>
                </c:pt>
                <c:pt idx="9">
                  <c:v>2990.19</c:v>
                </c:pt>
                <c:pt idx="10">
                  <c:v>2396.3200000000002</c:v>
                </c:pt>
                <c:pt idx="11">
                  <c:v>131.27000000000001</c:v>
                </c:pt>
                <c:pt idx="12">
                  <c:v>4861.8</c:v>
                </c:pt>
                <c:pt idx="13">
                  <c:v>4513.13</c:v>
                </c:pt>
                <c:pt idx="14">
                  <c:v>3282.68</c:v>
                </c:pt>
                <c:pt idx="15">
                  <c:v>1727.92</c:v>
                </c:pt>
                <c:pt idx="16">
                  <c:v>3887.27</c:v>
                </c:pt>
                <c:pt idx="17">
                  <c:v>1856.42</c:v>
                </c:pt>
                <c:pt idx="18">
                  <c:v>3386.06</c:v>
                </c:pt>
                <c:pt idx="19">
                  <c:v>3763.53</c:v>
                </c:pt>
                <c:pt idx="20">
                  <c:v>2169.5500000000002</c:v>
                </c:pt>
                <c:pt idx="21">
                  <c:v>4058.95</c:v>
                </c:pt>
                <c:pt idx="22">
                  <c:v>365.03</c:v>
                </c:pt>
                <c:pt idx="23">
                  <c:v>4534.22</c:v>
                </c:pt>
                <c:pt idx="24">
                  <c:v>191.69</c:v>
                </c:pt>
                <c:pt idx="25">
                  <c:v>3170.77</c:v>
                </c:pt>
                <c:pt idx="26">
                  <c:v>1501.47</c:v>
                </c:pt>
                <c:pt idx="27">
                  <c:v>228.92</c:v>
                </c:pt>
                <c:pt idx="28">
                  <c:v>2201.7199999999998</c:v>
                </c:pt>
                <c:pt idx="29">
                  <c:v>4229.42</c:v>
                </c:pt>
                <c:pt idx="30">
                  <c:v>958.62</c:v>
                </c:pt>
                <c:pt idx="31">
                  <c:v>2568.09</c:v>
                </c:pt>
                <c:pt idx="32">
                  <c:v>376.7</c:v>
                </c:pt>
                <c:pt idx="33">
                  <c:v>4845.1400000000003</c:v>
                </c:pt>
                <c:pt idx="34">
                  <c:v>1440.19</c:v>
                </c:pt>
                <c:pt idx="35">
                  <c:v>4063.21</c:v>
                </c:pt>
                <c:pt idx="36">
                  <c:v>853.37</c:v>
                </c:pt>
                <c:pt idx="37">
                  <c:v>3755.03</c:v>
                </c:pt>
                <c:pt idx="38">
                  <c:v>4059.05</c:v>
                </c:pt>
                <c:pt idx="39">
                  <c:v>3023.24</c:v>
                </c:pt>
                <c:pt idx="40">
                  <c:v>588.4</c:v>
                </c:pt>
                <c:pt idx="41">
                  <c:v>157.19999999999999</c:v>
                </c:pt>
                <c:pt idx="42">
                  <c:v>3207.77</c:v>
                </c:pt>
                <c:pt idx="43">
                  <c:v>4810.12</c:v>
                </c:pt>
                <c:pt idx="44">
                  <c:v>2592.4499999999998</c:v>
                </c:pt>
                <c:pt idx="45">
                  <c:v>1214.9100000000001</c:v>
                </c:pt>
                <c:pt idx="46">
                  <c:v>1528.95</c:v>
                </c:pt>
                <c:pt idx="47">
                  <c:v>730.12</c:v>
                </c:pt>
                <c:pt idx="48">
                  <c:v>4650.09</c:v>
                </c:pt>
                <c:pt idx="49">
                  <c:v>3209.93</c:v>
                </c:pt>
                <c:pt idx="50">
                  <c:v>3849.15</c:v>
                </c:pt>
                <c:pt idx="51">
                  <c:v>145.56</c:v>
                </c:pt>
                <c:pt idx="52">
                  <c:v>2645.24</c:v>
                </c:pt>
                <c:pt idx="53">
                  <c:v>4790.95</c:v>
                </c:pt>
                <c:pt idx="54">
                  <c:v>297.3</c:v>
                </c:pt>
                <c:pt idx="55">
                  <c:v>1428.65</c:v>
                </c:pt>
                <c:pt idx="56">
                  <c:v>3719.31</c:v>
                </c:pt>
                <c:pt idx="57">
                  <c:v>3601.1</c:v>
                </c:pt>
                <c:pt idx="58">
                  <c:v>3281.14</c:v>
                </c:pt>
                <c:pt idx="59">
                  <c:v>1669.54</c:v>
                </c:pt>
                <c:pt idx="60">
                  <c:v>1160.6300000000001</c:v>
                </c:pt>
                <c:pt idx="61">
                  <c:v>1120.8900000000001</c:v>
                </c:pt>
                <c:pt idx="62">
                  <c:v>1329.5</c:v>
                </c:pt>
                <c:pt idx="63">
                  <c:v>3216.19</c:v>
                </c:pt>
                <c:pt idx="64">
                  <c:v>3005.94</c:v>
                </c:pt>
                <c:pt idx="65">
                  <c:v>3716.34</c:v>
                </c:pt>
                <c:pt idx="66">
                  <c:v>2905.35</c:v>
                </c:pt>
                <c:pt idx="67">
                  <c:v>2920.18</c:v>
                </c:pt>
                <c:pt idx="68">
                  <c:v>1150.1400000000001</c:v>
                </c:pt>
                <c:pt idx="69">
                  <c:v>1350.42</c:v>
                </c:pt>
                <c:pt idx="70">
                  <c:v>4682.4799999999996</c:v>
                </c:pt>
                <c:pt idx="71">
                  <c:v>284.18</c:v>
                </c:pt>
                <c:pt idx="72">
                  <c:v>4143.62</c:v>
                </c:pt>
                <c:pt idx="73">
                  <c:v>405.04</c:v>
                </c:pt>
                <c:pt idx="74">
                  <c:v>226.51</c:v>
                </c:pt>
                <c:pt idx="75">
                  <c:v>1414.17</c:v>
                </c:pt>
                <c:pt idx="76">
                  <c:v>4164.8</c:v>
                </c:pt>
                <c:pt idx="77">
                  <c:v>923.44</c:v>
                </c:pt>
                <c:pt idx="78">
                  <c:v>3585.36</c:v>
                </c:pt>
                <c:pt idx="79">
                  <c:v>332.55</c:v>
                </c:pt>
                <c:pt idx="80">
                  <c:v>4215.55</c:v>
                </c:pt>
                <c:pt idx="81">
                  <c:v>3386.76</c:v>
                </c:pt>
                <c:pt idx="82">
                  <c:v>3307</c:v>
                </c:pt>
                <c:pt idx="83">
                  <c:v>1946.68</c:v>
                </c:pt>
                <c:pt idx="84">
                  <c:v>3141.59</c:v>
                </c:pt>
                <c:pt idx="85">
                  <c:v>1830.94</c:v>
                </c:pt>
                <c:pt idx="86">
                  <c:v>4768.07</c:v>
                </c:pt>
                <c:pt idx="87">
                  <c:v>3189.18</c:v>
                </c:pt>
                <c:pt idx="88">
                  <c:v>2314.25</c:v>
                </c:pt>
                <c:pt idx="89">
                  <c:v>1940.52</c:v>
                </c:pt>
                <c:pt idx="90">
                  <c:v>2454.9699999999998</c:v>
                </c:pt>
                <c:pt idx="91">
                  <c:v>4548.04</c:v>
                </c:pt>
                <c:pt idx="92">
                  <c:v>4750.95</c:v>
                </c:pt>
                <c:pt idx="93">
                  <c:v>839.69</c:v>
                </c:pt>
                <c:pt idx="94">
                  <c:v>4733.71</c:v>
                </c:pt>
                <c:pt idx="95">
                  <c:v>983.95</c:v>
                </c:pt>
                <c:pt idx="96">
                  <c:v>2306.11</c:v>
                </c:pt>
                <c:pt idx="97">
                  <c:v>3902.86</c:v>
                </c:pt>
                <c:pt idx="98">
                  <c:v>2455.27</c:v>
                </c:pt>
                <c:pt idx="99">
                  <c:v>4721.8599999999997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D-40F0-B5EA-48CEF1570459}"/>
            </c:ext>
          </c:extLst>
        </c:ser>
        <c:ser>
          <c:idx val="1"/>
          <c:order val="1"/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data'!$I$2:$I$101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D-40F0-B5EA-48CEF1570459}"/>
            </c:ext>
          </c:extLst>
        </c:ser>
        <c:ser>
          <c:idx val="2"/>
          <c:order val="2"/>
          <c:spPr>
            <a:solidFill>
              <a:schemeClr val="accent2">
                <a:shade val="82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data'!$J$2:$J$101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7D-40F0-B5EA-48CEF1570459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data'!$K$2:$K$101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7D-40F0-B5EA-48CEF1570459}"/>
            </c:ext>
          </c:extLst>
        </c:ser>
        <c:ser>
          <c:idx val="4"/>
          <c:order val="4"/>
          <c:spPr>
            <a:solidFill>
              <a:schemeClr val="accent2">
                <a:tint val="83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data'!$L$2:$L$101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59.57</c:v>
                </c:pt>
                <c:pt idx="4">
                  <c:v>0</c:v>
                </c:pt>
                <c:pt idx="5">
                  <c:v>22.39</c:v>
                </c:pt>
                <c:pt idx="6">
                  <c:v>96.37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47.93</c:v>
                </c:pt>
                <c:pt idx="11">
                  <c:v>2.63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34.56</c:v>
                </c:pt>
                <c:pt idx="16">
                  <c:v>77.75</c:v>
                </c:pt>
                <c:pt idx="17">
                  <c:v>0</c:v>
                </c:pt>
                <c:pt idx="18">
                  <c:v>0</c:v>
                </c:pt>
                <c:pt idx="19">
                  <c:v>75.27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90.68</c:v>
                </c:pt>
                <c:pt idx="24">
                  <c:v>3.83</c:v>
                </c:pt>
                <c:pt idx="25">
                  <c:v>63.42</c:v>
                </c:pt>
                <c:pt idx="26">
                  <c:v>30.03</c:v>
                </c:pt>
                <c:pt idx="27">
                  <c:v>4.58</c:v>
                </c:pt>
                <c:pt idx="28">
                  <c:v>44.03</c:v>
                </c:pt>
                <c:pt idx="29">
                  <c:v>84.59</c:v>
                </c:pt>
                <c:pt idx="30">
                  <c:v>0</c:v>
                </c:pt>
                <c:pt idx="31">
                  <c:v>51.36</c:v>
                </c:pt>
                <c:pt idx="32">
                  <c:v>7.53</c:v>
                </c:pt>
                <c:pt idx="33">
                  <c:v>96.9</c:v>
                </c:pt>
                <c:pt idx="34">
                  <c:v>0</c:v>
                </c:pt>
                <c:pt idx="35">
                  <c:v>0</c:v>
                </c:pt>
                <c:pt idx="36">
                  <c:v>17.07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11.77</c:v>
                </c:pt>
                <c:pt idx="41">
                  <c:v>3.14</c:v>
                </c:pt>
                <c:pt idx="42">
                  <c:v>64.16</c:v>
                </c:pt>
                <c:pt idx="43">
                  <c:v>96.2</c:v>
                </c:pt>
                <c:pt idx="44">
                  <c:v>51.85</c:v>
                </c:pt>
                <c:pt idx="45">
                  <c:v>24.3</c:v>
                </c:pt>
                <c:pt idx="46">
                  <c:v>30.58</c:v>
                </c:pt>
                <c:pt idx="47">
                  <c:v>14.6</c:v>
                </c:pt>
                <c:pt idx="48">
                  <c:v>0</c:v>
                </c:pt>
                <c:pt idx="49">
                  <c:v>0</c:v>
                </c:pt>
                <c:pt idx="50">
                  <c:v>76.98</c:v>
                </c:pt>
                <c:pt idx="51">
                  <c:v>2.91</c:v>
                </c:pt>
                <c:pt idx="52">
                  <c:v>0</c:v>
                </c:pt>
                <c:pt idx="53">
                  <c:v>95.82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72.02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22.42</c:v>
                </c:pt>
                <c:pt idx="62">
                  <c:v>0</c:v>
                </c:pt>
                <c:pt idx="63">
                  <c:v>64.319999999999993</c:v>
                </c:pt>
                <c:pt idx="64">
                  <c:v>0</c:v>
                </c:pt>
                <c:pt idx="65">
                  <c:v>74.33</c:v>
                </c:pt>
                <c:pt idx="66">
                  <c:v>0</c:v>
                </c:pt>
                <c:pt idx="67">
                  <c:v>58.4</c:v>
                </c:pt>
                <c:pt idx="68">
                  <c:v>0</c:v>
                </c:pt>
                <c:pt idx="69">
                  <c:v>27.01</c:v>
                </c:pt>
                <c:pt idx="70">
                  <c:v>93.65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4.53</c:v>
                </c:pt>
                <c:pt idx="75">
                  <c:v>28.28</c:v>
                </c:pt>
                <c:pt idx="76">
                  <c:v>83.3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38.93</c:v>
                </c:pt>
                <c:pt idx="84">
                  <c:v>0</c:v>
                </c:pt>
                <c:pt idx="85">
                  <c:v>36.619999999999997</c:v>
                </c:pt>
                <c:pt idx="86">
                  <c:v>95.36</c:v>
                </c:pt>
                <c:pt idx="87">
                  <c:v>63.78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90.96</c:v>
                </c:pt>
                <c:pt idx="92">
                  <c:v>95.02</c:v>
                </c:pt>
                <c:pt idx="93">
                  <c:v>0</c:v>
                </c:pt>
                <c:pt idx="94">
                  <c:v>94.67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94.44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7D-40F0-B5EA-48CEF1570459}"/>
            </c:ext>
          </c:extLst>
        </c:ser>
        <c:ser>
          <c:idx val="5"/>
          <c:order val="5"/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data'!$M$2:$M$101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2918.9</c:v>
                </c:pt>
                <c:pt idx="4">
                  <c:v>0</c:v>
                </c:pt>
                <c:pt idx="5">
                  <c:v>1097.24</c:v>
                </c:pt>
                <c:pt idx="6">
                  <c:v>4722.03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2348.39</c:v>
                </c:pt>
                <c:pt idx="11">
                  <c:v>128.63999999999999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1693.36</c:v>
                </c:pt>
                <c:pt idx="16">
                  <c:v>3809.52</c:v>
                </c:pt>
                <c:pt idx="17">
                  <c:v>0</c:v>
                </c:pt>
                <c:pt idx="18">
                  <c:v>0</c:v>
                </c:pt>
                <c:pt idx="19">
                  <c:v>3688.26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4443.54</c:v>
                </c:pt>
                <c:pt idx="24">
                  <c:v>187.86</c:v>
                </c:pt>
                <c:pt idx="25">
                  <c:v>3107.35</c:v>
                </c:pt>
                <c:pt idx="26">
                  <c:v>1471.44</c:v>
                </c:pt>
                <c:pt idx="27">
                  <c:v>224.34</c:v>
                </c:pt>
                <c:pt idx="28">
                  <c:v>2157.69</c:v>
                </c:pt>
                <c:pt idx="29">
                  <c:v>4144.83</c:v>
                </c:pt>
                <c:pt idx="30">
                  <c:v>0</c:v>
                </c:pt>
                <c:pt idx="31">
                  <c:v>2516.73</c:v>
                </c:pt>
                <c:pt idx="32">
                  <c:v>369.17</c:v>
                </c:pt>
                <c:pt idx="33">
                  <c:v>4748.24</c:v>
                </c:pt>
                <c:pt idx="34">
                  <c:v>0</c:v>
                </c:pt>
                <c:pt idx="35">
                  <c:v>0</c:v>
                </c:pt>
                <c:pt idx="36">
                  <c:v>836.3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576.63</c:v>
                </c:pt>
                <c:pt idx="41">
                  <c:v>154.06</c:v>
                </c:pt>
                <c:pt idx="42">
                  <c:v>3143.61</c:v>
                </c:pt>
                <c:pt idx="43">
                  <c:v>4713.92</c:v>
                </c:pt>
                <c:pt idx="44">
                  <c:v>2540.6</c:v>
                </c:pt>
                <c:pt idx="45">
                  <c:v>1190.6099999999999</c:v>
                </c:pt>
                <c:pt idx="46">
                  <c:v>1498.37</c:v>
                </c:pt>
                <c:pt idx="47">
                  <c:v>715.52</c:v>
                </c:pt>
                <c:pt idx="48">
                  <c:v>0</c:v>
                </c:pt>
                <c:pt idx="49">
                  <c:v>0</c:v>
                </c:pt>
                <c:pt idx="50">
                  <c:v>3772.17</c:v>
                </c:pt>
                <c:pt idx="51">
                  <c:v>142.65</c:v>
                </c:pt>
                <c:pt idx="52">
                  <c:v>0</c:v>
                </c:pt>
                <c:pt idx="53">
                  <c:v>4695.13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3529.08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1098.47</c:v>
                </c:pt>
                <c:pt idx="62">
                  <c:v>0</c:v>
                </c:pt>
                <c:pt idx="63">
                  <c:v>3151.87</c:v>
                </c:pt>
                <c:pt idx="64">
                  <c:v>0</c:v>
                </c:pt>
                <c:pt idx="65">
                  <c:v>3642.01</c:v>
                </c:pt>
                <c:pt idx="66">
                  <c:v>0</c:v>
                </c:pt>
                <c:pt idx="67">
                  <c:v>2861.78</c:v>
                </c:pt>
                <c:pt idx="68">
                  <c:v>0</c:v>
                </c:pt>
                <c:pt idx="69">
                  <c:v>1323.41</c:v>
                </c:pt>
                <c:pt idx="70">
                  <c:v>4588.83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221.98</c:v>
                </c:pt>
                <c:pt idx="75">
                  <c:v>1385.89</c:v>
                </c:pt>
                <c:pt idx="76">
                  <c:v>4081.5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1907.75</c:v>
                </c:pt>
                <c:pt idx="84">
                  <c:v>0</c:v>
                </c:pt>
                <c:pt idx="85">
                  <c:v>1794.32</c:v>
                </c:pt>
                <c:pt idx="86">
                  <c:v>4672.71</c:v>
                </c:pt>
                <c:pt idx="87">
                  <c:v>3125.4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4457.08</c:v>
                </c:pt>
                <c:pt idx="92">
                  <c:v>4655.93</c:v>
                </c:pt>
                <c:pt idx="93">
                  <c:v>0</c:v>
                </c:pt>
                <c:pt idx="94">
                  <c:v>4639.04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4627.42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7D-40F0-B5EA-48CEF1570459}"/>
            </c:ext>
          </c:extLst>
        </c:ser>
        <c:ser>
          <c:idx val="6"/>
          <c:order val="6"/>
          <c:spPr>
            <a:solidFill>
              <a:schemeClr val="accent2">
                <a:tint val="48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7D-40F0-B5EA-48CEF1570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537120"/>
        <c:axId val="555516960"/>
      </c:areaChart>
      <c:catAx>
        <c:axId val="55553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16960"/>
        <c:crosses val="autoZero"/>
        <c:auto val="1"/>
        <c:lblAlgn val="ctr"/>
        <c:lblOffset val="100"/>
        <c:noMultiLvlLbl val="0"/>
      </c:catAx>
      <c:valAx>
        <c:axId val="5555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3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  <cx:data id="3">
      <cx:strDim type="cat">
        <cx:f>_xlchart.v1.0</cx:f>
      </cx:strDim>
      <cx:numDim type="val">
        <cx:f>_xlchart.v1.4</cx:f>
      </cx:numDim>
    </cx:data>
    <cx:data id="4">
      <cx:strDim type="cat">
        <cx:f>_xlchart.v1.0</cx:f>
      </cx:strDim>
      <cx:numDim type="val">
        <cx:f>_xlchart.v1.5</cx:f>
      </cx:numDim>
    </cx:data>
    <cx:data id="5">
      <cx:strDim type="cat">
        <cx:f>_xlchart.v1.0</cx:f>
      </cx:strDim>
      <cx:numDim type="val">
        <cx:f>_xlchart.v1.6</cx:f>
      </cx:numDim>
    </cx:data>
    <cx:data id="6">
      <cx:strDim type="cat">
        <cx:f>_xlchart.v1.0</cx:f>
      </cx:strDim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82AF5D03-B397-4598-BAB5-AE075010C297}" formatIdx="0">
          <cx:dataId val="0"/>
          <cx:layoutPr>
            <cx:aggregation/>
          </cx:layoutPr>
          <cx:axisId val="1"/>
        </cx:series>
        <cx:series layoutId="paretoLine" ownerIdx="0" uniqueId="{ECEFDD0F-7E38-4DB1-B72B-9149D9DE2EA5}" formatIdx="1">
          <cx:axisId val="2"/>
        </cx:series>
        <cx:series layoutId="clusteredColumn" hidden="1" uniqueId="{CA6BAEBC-529B-4DD5-AC4B-9FD9BED2124A}" formatIdx="2">
          <cx:dataId val="1"/>
          <cx:layoutPr>
            <cx:aggregation/>
          </cx:layoutPr>
          <cx:axisId val="1"/>
        </cx:series>
        <cx:series layoutId="paretoLine" ownerIdx="2" uniqueId="{C7CFB93E-C6AF-40AC-9FE1-9D1335FE449B}" formatIdx="3">
          <cx:axisId val="2"/>
        </cx:series>
        <cx:series layoutId="clusteredColumn" hidden="1" uniqueId="{526AE12D-A926-450F-AD76-3D6D7CD433A4}" formatIdx="4">
          <cx:dataId val="2"/>
          <cx:layoutPr>
            <cx:aggregation/>
          </cx:layoutPr>
          <cx:axisId val="1"/>
        </cx:series>
        <cx:series layoutId="paretoLine" ownerIdx="4" uniqueId="{92B60130-31DB-4D76-A77A-464EC0F91F40}" formatIdx="5">
          <cx:axisId val="2"/>
        </cx:series>
        <cx:series layoutId="clusteredColumn" hidden="1" uniqueId="{B1ED9FC0-BEB5-4C42-8C00-1E913363ACF9}" formatIdx="6">
          <cx:dataId val="3"/>
          <cx:layoutPr>
            <cx:aggregation/>
          </cx:layoutPr>
          <cx:axisId val="1"/>
        </cx:series>
        <cx:series layoutId="paretoLine" ownerIdx="6" uniqueId="{FC55818E-70BD-43D5-9AF5-2D839F789B68}" formatIdx="7">
          <cx:axisId val="2"/>
        </cx:series>
        <cx:series layoutId="clusteredColumn" hidden="1" uniqueId="{92BC537C-5872-4190-8B7C-0043E1BAEDD8}" formatIdx="8">
          <cx:dataId val="4"/>
          <cx:layoutPr>
            <cx:aggregation/>
          </cx:layoutPr>
          <cx:axisId val="1"/>
        </cx:series>
        <cx:series layoutId="paretoLine" ownerIdx="8" uniqueId="{9C9C6E3D-F4DA-45B8-9094-BCEEE06FEDAB}" formatIdx="9">
          <cx:axisId val="2"/>
        </cx:series>
        <cx:series layoutId="clusteredColumn" hidden="1" uniqueId="{5CEFB9AE-408C-4879-99D7-7DC2380FFED4}" formatIdx="10">
          <cx:dataId val="5"/>
          <cx:layoutPr>
            <cx:aggregation/>
          </cx:layoutPr>
          <cx:axisId val="1"/>
        </cx:series>
        <cx:series layoutId="paretoLine" ownerIdx="10" uniqueId="{9CE8C4BA-FD4A-4FBA-9B43-48489171E585}" formatIdx="11">
          <cx:axisId val="2"/>
        </cx:series>
        <cx:series layoutId="clusteredColumn" hidden="1" uniqueId="{B4262BD3-E8FF-4D65-BF21-185B5F04D653}" formatIdx="12">
          <cx:dataId val="6"/>
          <cx:layoutPr>
            <cx:aggregation/>
          </cx:layoutPr>
          <cx:axisId val="1"/>
        </cx:series>
        <cx:series layoutId="paretoLine" ownerIdx="12" uniqueId="{8DA588F1-B737-44E2-9362-4F4BBC8C5BFE}" formatIdx="1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  <cx:data id="1">
      <cx:strDim type="cat">
        <cx:f>_xlchart.v1.8</cx:f>
      </cx:strDim>
      <cx:numDim type="val">
        <cx:f>_xlchart.v1.10</cx:f>
      </cx:numDim>
    </cx:data>
    <cx:data id="2">
      <cx:strDim type="cat">
        <cx:f>_xlchart.v1.8</cx:f>
      </cx:strDim>
      <cx:numDim type="val">
        <cx:f>_xlchart.v1.11</cx:f>
      </cx:numDim>
    </cx:data>
    <cx:data id="3">
      <cx:strDim type="cat">
        <cx:f>_xlchart.v1.8</cx:f>
      </cx:strDim>
      <cx:numDim type="val">
        <cx:f>_xlchart.v1.12</cx:f>
      </cx:numDim>
    </cx:data>
    <cx:data id="4">
      <cx:strDim type="cat">
        <cx:f>_xlchart.v1.8</cx:f>
      </cx:strDim>
      <cx:numDim type="val">
        <cx:f>_xlchart.v1.13</cx:f>
      </cx:numDim>
    </cx:data>
    <cx:data id="5">
      <cx:strDim type="cat">
        <cx:f>_xlchart.v1.8</cx:f>
      </cx:strDim>
      <cx:numDim type="val">
        <cx:f>_xlchart.v1.14</cx:f>
      </cx:numDim>
    </cx:data>
    <cx:data id="6">
      <cx:strDim type="cat">
        <cx:f>_xlchart.v1.8</cx:f>
      </cx:strDim>
      <cx:numDim type="val">
        <cx:f>_xlchart.v1.15</cx:f>
      </cx:numDim>
    </cx:data>
  </cx:chartData>
  <cx:chart>
    <cx:title pos="t" align="ctr" overlay="0"/>
    <cx:plotArea>
      <cx:plotAreaRegion>
        <cx:series layoutId="clusteredColumn" uniqueId="{968F524C-CF64-4D7A-9D96-2B96A1E38C65}" formatIdx="0">
          <cx:dataId val="0"/>
          <cx:layoutPr>
            <cx:binning intervalClosed="r"/>
          </cx:layoutPr>
        </cx:series>
        <cx:series layoutId="clusteredColumn" hidden="1" uniqueId="{9EF5E672-7CE6-4156-ACD1-1665CDD9DDA9}" formatIdx="1">
          <cx:dataId val="1"/>
          <cx:layoutPr>
            <cx:binning intervalClosed="r"/>
          </cx:layoutPr>
        </cx:series>
        <cx:series layoutId="clusteredColumn" hidden="1" uniqueId="{8FA5E738-0A0E-43C7-B2A3-8E33C4A7CE76}" formatIdx="2">
          <cx:dataId val="2"/>
          <cx:layoutPr>
            <cx:binning intervalClosed="r"/>
          </cx:layoutPr>
        </cx:series>
        <cx:series layoutId="clusteredColumn" hidden="1" uniqueId="{3385CEB8-D09D-4C7E-B821-97DB41F77261}" formatIdx="3">
          <cx:dataId val="3"/>
          <cx:layoutPr>
            <cx:binning intervalClosed="r"/>
          </cx:layoutPr>
        </cx:series>
        <cx:series layoutId="clusteredColumn" hidden="1" uniqueId="{25401739-0820-4772-A10C-203F14CC572F}" formatIdx="4">
          <cx:dataId val="4"/>
          <cx:layoutPr>
            <cx:binning intervalClosed="r"/>
          </cx:layoutPr>
        </cx:series>
        <cx:series layoutId="clusteredColumn" hidden="1" uniqueId="{F68C77AD-A0E7-4752-9C8E-2FAFBE33CB32}" formatIdx="5">
          <cx:dataId val="5"/>
          <cx:layoutPr>
            <cx:binning intervalClosed="r"/>
          </cx:layoutPr>
        </cx:series>
        <cx:series layoutId="clusteredColumn" hidden="1" uniqueId="{3EA9407E-5152-4A18-806F-792EA7597DE1}" formatIdx="6">
          <cx:dataId val="6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26670</xdr:rowOff>
    </xdr:from>
    <xdr:to>
      <xdr:col>10</xdr:col>
      <xdr:colOff>304800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01034-78B4-DE8C-B56E-98C533028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274320</xdr:colOff>
      <xdr:row>0</xdr:row>
      <xdr:rowOff>83820</xdr:rowOff>
    </xdr:from>
    <xdr:to>
      <xdr:col>25</xdr:col>
      <xdr:colOff>579120</xdr:colOff>
      <xdr:row>16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A0BDA-9A43-4499-B122-970B4B2EB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236220</xdr:colOff>
      <xdr:row>21</xdr:row>
      <xdr:rowOff>83820</xdr:rowOff>
    </xdr:from>
    <xdr:to>
      <xdr:col>10</xdr:col>
      <xdr:colOff>541020</xdr:colOff>
      <xdr:row>37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D7FB2-A724-4224-ACB9-3B6EEFBC2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53340</xdr:colOff>
      <xdr:row>20</xdr:row>
      <xdr:rowOff>7620</xdr:rowOff>
    </xdr:from>
    <xdr:to>
      <xdr:col>26</xdr:col>
      <xdr:colOff>358140</xdr:colOff>
      <xdr:row>36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ED4029-2703-41AA-967E-B5F4966B1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243840</xdr:colOff>
      <xdr:row>42</xdr:row>
      <xdr:rowOff>91440</xdr:rowOff>
    </xdr:from>
    <xdr:to>
      <xdr:col>10</xdr:col>
      <xdr:colOff>548640</xdr:colOff>
      <xdr:row>58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DD9CD4-BDF7-40AA-8DB0-7576BA085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46</xdr:row>
      <xdr:rowOff>0</xdr:rowOff>
    </xdr:from>
    <xdr:to>
      <xdr:col>25</xdr:col>
      <xdr:colOff>304800</xdr:colOff>
      <xdr:row>62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83CD47-408A-4D18-B3A7-C46E7ADDD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373380</xdr:colOff>
      <xdr:row>63</xdr:row>
      <xdr:rowOff>99060</xdr:rowOff>
    </xdr:from>
    <xdr:to>
      <xdr:col>11</xdr:col>
      <xdr:colOff>68580</xdr:colOff>
      <xdr:row>79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9897CF-624A-49F5-BEBF-B36192EEE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60960</xdr:colOff>
      <xdr:row>64</xdr:row>
      <xdr:rowOff>0</xdr:rowOff>
    </xdr:from>
    <xdr:to>
      <xdr:col>25</xdr:col>
      <xdr:colOff>365760</xdr:colOff>
      <xdr:row>80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4BE07B0-1094-4964-840F-14DB949A6C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36780" y="107289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510540</xdr:colOff>
      <xdr:row>84</xdr:row>
      <xdr:rowOff>91440</xdr:rowOff>
    </xdr:from>
    <xdr:to>
      <xdr:col>11</xdr:col>
      <xdr:colOff>205740</xdr:colOff>
      <xdr:row>100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914122DA-3A16-48A3-8E67-0337DA712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4680" y="14173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6352546297" createdVersion="8" refreshedVersion="8" minRefreshableVersion="3" recordCount="100" xr:uid="{5B5DA445-6133-42AD-BEF5-CCDA90CAC184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7104976852" createdVersion="8" refreshedVersion="8" minRefreshableVersion="3" recordCount="100" xr:uid="{B3343EFF-E311-4A70-A614-294759ACA296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7859490739" createdVersion="8" refreshedVersion="8" minRefreshableVersion="3" recordCount="100" xr:uid="{A83C7C24-0395-4A62-A4AF-F9822BFAED04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 count="5">
        <s v="INR"/>
        <s v="USD"/>
        <s v="GBP"/>
        <s v="AUD"/>
        <s v="CAD"/>
      </sharedItems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9186574076" createdVersion="8" refreshedVersion="8" minRefreshableVersion="3" recordCount="100" xr:uid="{EA5838C2-2D82-41F2-AF27-887C41F65F23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 count="5">
        <s v="Network Error"/>
        <s v="Insufficient Funds"/>
        <s v="Card Expired"/>
        <s v="Completed"/>
        <s v="Invalid PIN"/>
      </sharedItems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2401388885" createdVersion="8" refreshedVersion="8" minRefreshableVersion="3" recordCount="100" xr:uid="{9C11FA84-66C5-4D96-B7CA-25AD3F2D1B95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2647453703" createdVersion="8" refreshedVersion="8" minRefreshableVersion="3" recordCount="100" xr:uid="{690848D0-52FE-45C0-B710-5A3403107B40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2940046297" createdVersion="8" refreshedVersion="8" minRefreshableVersion="3" recordCount="100" xr:uid="{3EAD08D1-7DE0-4ADF-84F3-85C91D62A5AF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 count="100">
        <s v="0:53:56"/>
        <s v="15:15:08"/>
        <s v="20:31:23"/>
        <s v="18:01:55"/>
        <s v="8:46:30"/>
        <s v="11:33:00"/>
        <s v="18:26:29"/>
        <s v="8:48:50"/>
        <s v="15:22:59"/>
        <s v="2:03:02"/>
        <s v="7:53:35"/>
        <s v="8:57:22"/>
        <s v="0:32:35"/>
        <s v="3:26:44"/>
        <s v="4:05:55"/>
        <s v="4:41:43"/>
        <s v="5:02:02"/>
        <s v="7:45:59"/>
        <s v="12:19:52"/>
        <s v="3:34:34"/>
        <s v="17:04:39"/>
        <s v="19:16:01"/>
        <s v="6:31:39"/>
        <s v="1:29:05"/>
        <s v="19:47:14"/>
        <s v="8:15:58"/>
        <s v="16:58:41"/>
        <s v="6:57:25"/>
        <s v="13:12:35"/>
        <s v="8:18:31"/>
        <s v="17:51:33"/>
        <s v="13:59:11"/>
        <s v="15:01:00"/>
        <s v="13:04:56"/>
        <s v="4:56:48"/>
        <s v="4:29:38"/>
        <s v="15:19:56"/>
        <s v="22:43:57"/>
        <s v="17:03:44"/>
        <s v="7:05:57"/>
        <s v="10:44:16"/>
        <s v="19:56:26"/>
        <s v="4:41:08"/>
        <s v="11:00:40"/>
        <s v="7:01:13"/>
        <s v="6:23:04"/>
        <s v="6:29:29"/>
        <s v="2:28:51"/>
        <s v="23:58:05"/>
        <s v="12:21:16"/>
        <s v="23:26:24"/>
        <s v="15:59:13"/>
        <s v="23:58:11"/>
        <s v="15:14:00"/>
        <s v="11:15:49"/>
        <s v="8:24:37"/>
        <s v="21:44:12"/>
        <s v="5:13:37"/>
        <s v="14:58:25"/>
        <s v="9:16:53"/>
        <s v="3:25:17"/>
        <s v="12:06:08"/>
        <s v="9:31:53"/>
        <s v="8:33:24"/>
        <s v="2:12:45"/>
        <s v="11:03:50"/>
        <s v="4:27:22"/>
        <s v="7:20:53"/>
        <s v="0:29:49"/>
        <s v="2:14:51"/>
        <s v="11:23:13"/>
        <s v="11:49:21"/>
        <s v="9:34:25"/>
        <s v="22:40:33"/>
        <s v="19:02:12"/>
        <s v="13:59:57"/>
        <s v="11:01:15"/>
        <s v="8:55:07"/>
        <s v="11:03:33"/>
        <s v="19:00:28"/>
        <s v="13:51:03"/>
        <s v="13:43:31"/>
        <s v="21:38:20"/>
        <s v="7:42:05"/>
        <s v="6:08:01"/>
        <s v="0:08:25"/>
        <s v="14:01:58"/>
        <s v="4:04:43"/>
        <s v="13:37:42"/>
        <s v="18:33:46"/>
        <s v="21:38:43"/>
        <s v="23:01:47"/>
        <s v="2:31:43"/>
        <s v="8:29:35"/>
        <s v="8:26:57"/>
        <s v="11:51:20"/>
        <s v="8:30:33"/>
        <s v="0:15:21"/>
        <s v="0:31:49"/>
        <s v="8:54:38"/>
      </sharedItems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3509143515" createdVersion="8" refreshedVersion="8" minRefreshableVersion="3" recordCount="100" xr:uid="{2EE00B8A-35E5-4BF2-80E6-67D268F4D17A}">
  <cacheSource type="worksheet">
    <worksheetSource name="Table9"/>
  </cacheSource>
  <cacheFields count="14">
    <cacheField name="Transaction_ID" numFmtId="0">
      <sharedItems count="1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</sharedItems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 count="5">
        <s v="Debit Card"/>
        <s v="UPI"/>
        <s v="Wallet"/>
        <s v="Net Banking"/>
        <s v="Credit Card"/>
      </sharedItems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3945370367" createdVersion="8" refreshedVersion="8" minRefreshableVersion="3" recordCount="100" xr:uid="{BB02E2CC-7476-4E36-B88F-3911AF90AA72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 count="100">
        <s v="0:53:56"/>
        <s v="15:15:08"/>
        <s v="20:31:23"/>
        <s v="18:01:55"/>
        <s v="8:46:30"/>
        <s v="11:33:00"/>
        <s v="18:26:29"/>
        <s v="8:48:50"/>
        <s v="15:22:59"/>
        <s v="2:03:02"/>
        <s v="7:53:35"/>
        <s v="8:57:22"/>
        <s v="0:32:35"/>
        <s v="3:26:44"/>
        <s v="4:05:55"/>
        <s v="4:41:43"/>
        <s v="5:02:02"/>
        <s v="7:45:59"/>
        <s v="12:19:52"/>
        <s v="3:34:34"/>
        <s v="17:04:39"/>
        <s v="19:16:01"/>
        <s v="6:31:39"/>
        <s v="1:29:05"/>
        <s v="19:47:14"/>
        <s v="8:15:58"/>
        <s v="16:58:41"/>
        <s v="6:57:25"/>
        <s v="13:12:35"/>
        <s v="8:18:31"/>
        <s v="17:51:33"/>
        <s v="13:59:11"/>
        <s v="15:01:00"/>
        <s v="13:04:56"/>
        <s v="4:56:48"/>
        <s v="4:29:38"/>
        <s v="15:19:56"/>
        <s v="22:43:57"/>
        <s v="17:03:44"/>
        <s v="7:05:57"/>
        <s v="10:44:16"/>
        <s v="19:56:26"/>
        <s v="4:41:08"/>
        <s v="11:00:40"/>
        <s v="7:01:13"/>
        <s v="6:23:04"/>
        <s v="6:29:29"/>
        <s v="2:28:51"/>
        <s v="23:58:05"/>
        <s v="12:21:16"/>
        <s v="23:26:24"/>
        <s v="15:59:13"/>
        <s v="23:58:11"/>
        <s v="15:14:00"/>
        <s v="11:15:49"/>
        <s v="8:24:37"/>
        <s v="21:44:12"/>
        <s v="5:13:37"/>
        <s v="14:58:25"/>
        <s v="9:16:53"/>
        <s v="3:25:17"/>
        <s v="12:06:08"/>
        <s v="9:31:53"/>
        <s v="8:33:24"/>
        <s v="2:12:45"/>
        <s v="11:03:50"/>
        <s v="4:27:22"/>
        <s v="7:20:53"/>
        <s v="0:29:49"/>
        <s v="2:14:51"/>
        <s v="11:23:13"/>
        <s v="11:49:21"/>
        <s v="9:34:25"/>
        <s v="22:40:33"/>
        <s v="19:02:12"/>
        <s v="13:59:57"/>
        <s v="11:01:15"/>
        <s v="8:55:07"/>
        <s v="11:03:33"/>
        <s v="19:00:28"/>
        <s v="13:51:03"/>
        <s v="13:43:31"/>
        <s v="21:38:20"/>
        <s v="7:42:05"/>
        <s v="6:08:01"/>
        <s v="0:08:25"/>
        <s v="14:01:58"/>
        <s v="4:04:43"/>
        <s v="13:37:42"/>
        <s v="18:33:46"/>
        <s v="21:38:43"/>
        <s v="23:01:47"/>
        <s v="2:31:43"/>
        <s v="8:29:35"/>
        <s v="8:26:57"/>
        <s v="11:51:20"/>
        <s v="8:30:33"/>
        <s v="0:15:21"/>
        <s v="0:31:49"/>
        <s v="8:54:38"/>
      </sharedItems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 count="3">
        <s v="Subscription"/>
        <s v="Refund"/>
        <s v="Purchase"/>
      </sharedItems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4467245368" createdVersion="8" refreshedVersion="8" minRefreshableVersion="3" recordCount="100" xr:uid="{FE520632-D60E-4CC2-BF91-A14BE6254ED4}">
  <cacheSource type="worksheet">
    <worksheetSource name="Table9"/>
  </cacheSource>
  <cacheFields count="14">
    <cacheField name="Transaction_ID" numFmtId="0">
      <sharedItems count="1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</sharedItems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 count="5">
        <s v="INR"/>
        <s v="USD"/>
        <s v="GBP"/>
        <s v="AUD"/>
        <s v="CAD"/>
      </sharedItems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x v="0"/>
    <s v="Failed"/>
    <s v="Network Error"/>
    <n v="0"/>
    <n v="0"/>
    <s v="USA"/>
  </r>
  <r>
    <s v="T0002"/>
    <s v="1/27/2025"/>
    <s v="15:15:08"/>
    <s v="CUST6500"/>
    <s v="MER882"/>
    <s v="Debit Card"/>
    <s v="Refund"/>
    <n v="3433.6"/>
    <x v="1"/>
    <s v="Failed"/>
    <s v="Insufficient Funds"/>
    <n v="0"/>
    <n v="0"/>
    <s v="USA"/>
  </r>
  <r>
    <s v="T0003"/>
    <s v="1/14/2025"/>
    <s v="20:31:23"/>
    <s v="CUST3480"/>
    <s v="MER797"/>
    <s v="UPI"/>
    <s v="Subscription"/>
    <n v="4534.18"/>
    <x v="1"/>
    <s v="Failed"/>
    <s v="Card Expired"/>
    <n v="0"/>
    <n v="0"/>
    <s v="Australia"/>
  </r>
  <r>
    <s v="T0004"/>
    <s v="1/3/2025"/>
    <s v="18:01:55"/>
    <s v="CUST3978"/>
    <s v="MER166"/>
    <s v="Wallet"/>
    <s v="Purchase"/>
    <n v="2978.47"/>
    <x v="1"/>
    <s v="Success"/>
    <s v="Completed"/>
    <n v="59.57"/>
    <n v="2918.9"/>
    <s v="Canada"/>
  </r>
  <r>
    <s v="T0005"/>
    <s v="1/2/2025"/>
    <s v="8:46:30"/>
    <s v="CUST7766"/>
    <s v="MER620"/>
    <s v="Net Banking"/>
    <s v="Purchase"/>
    <n v="3690.48"/>
    <x v="1"/>
    <s v="Failed"/>
    <s v="Completed"/>
    <n v="0"/>
    <n v="0"/>
    <s v="Canada"/>
  </r>
  <r>
    <s v="T0006"/>
    <s v="1/29/2025"/>
    <s v="11:33:00"/>
    <s v="CUST1423"/>
    <s v="MER587"/>
    <s v="Wallet"/>
    <s v="Purchase"/>
    <n v="1119.6300000000001"/>
    <x v="0"/>
    <s v="Success"/>
    <s v="Completed"/>
    <n v="22.39"/>
    <n v="1097.24"/>
    <s v="UK"/>
  </r>
  <r>
    <s v="T0007"/>
    <s v="1/27/2025"/>
    <s v="18:26:29"/>
    <s v="CUST5609"/>
    <s v="MER616"/>
    <s v="Wallet"/>
    <s v="Refund"/>
    <n v="4818.3999999999996"/>
    <x v="0"/>
    <s v="Success"/>
    <s v="Completed"/>
    <n v="96.37"/>
    <n v="4722.03"/>
    <s v="USA"/>
  </r>
  <r>
    <s v="T0008"/>
    <s v="1/19/2025"/>
    <s v="8:48:50"/>
    <s v="CUST6471"/>
    <s v="MER159"/>
    <s v="Debit Card"/>
    <s v="Subscription"/>
    <n v="1965.15"/>
    <x v="0"/>
    <s v="Failed"/>
    <s v="Insufficient Funds"/>
    <n v="0"/>
    <n v="0"/>
    <s v="Canada"/>
  </r>
  <r>
    <s v="T0009"/>
    <s v="1/2/2025"/>
    <s v="15:22:59"/>
    <s v="CUST2524"/>
    <s v="MER540"/>
    <s v="Wallet"/>
    <s v="Purchase"/>
    <n v="4603.96"/>
    <x v="0"/>
    <s v="Failed"/>
    <s v="Completed"/>
    <n v="0"/>
    <n v="0"/>
    <s v="Australia"/>
  </r>
  <r>
    <s v="T0010"/>
    <s v="1/21/2025"/>
    <s v="2:03:02"/>
    <s v="CUST6594"/>
    <s v="MER603"/>
    <s v="Net Banking"/>
    <s v="Purchase"/>
    <n v="2990.19"/>
    <x v="2"/>
    <s v="Failed"/>
    <s v="Network Error"/>
    <n v="0"/>
    <n v="0"/>
    <s v="Canada"/>
  </r>
  <r>
    <s v="T0011"/>
    <s v="1/12/2025"/>
    <s v="7:53:35"/>
    <s v="CUST7865"/>
    <s v="MER707"/>
    <s v="Net Banking"/>
    <s v="Subscription"/>
    <n v="2396.3200000000002"/>
    <x v="1"/>
    <s v="Success"/>
    <s v="Completed"/>
    <n v="47.93"/>
    <n v="2348.39"/>
    <s v="Canada"/>
  </r>
  <r>
    <s v="T0012"/>
    <s v="1/11/2025"/>
    <s v="8:57:22"/>
    <s v="CUST6188"/>
    <s v="MER561"/>
    <s v="Credit Card"/>
    <s v="Purchase"/>
    <n v="131.27000000000001"/>
    <x v="1"/>
    <s v="Success"/>
    <s v="Completed"/>
    <n v="2.63"/>
    <n v="128.63999999999999"/>
    <s v="Canada"/>
  </r>
  <r>
    <s v="T0013"/>
    <s v="1/8/2025"/>
    <s v="0:32:35"/>
    <s v="CUST8175"/>
    <s v="MER359"/>
    <s v="Wallet"/>
    <s v="Subscription"/>
    <n v="4861.8"/>
    <x v="3"/>
    <s v="Failed"/>
    <s v="Card Expired"/>
    <n v="0"/>
    <n v="0"/>
    <s v="India"/>
  </r>
  <r>
    <s v="T0014"/>
    <s v="1/27/2025"/>
    <s v="3:26:44"/>
    <s v="CUST6623"/>
    <s v="MER551"/>
    <s v="Credit Card"/>
    <s v="Subscription"/>
    <n v="4513.13"/>
    <x v="4"/>
    <s v="Failed"/>
    <s v="Insufficient Funds"/>
    <n v="0"/>
    <n v="0"/>
    <s v="USA"/>
  </r>
  <r>
    <s v="T0015"/>
    <s v="1/16/2025"/>
    <s v="4:05:55"/>
    <s v="CUST5095"/>
    <s v="MER282"/>
    <s v="Wallet"/>
    <s v="Refund"/>
    <n v="3282.68"/>
    <x v="1"/>
    <s v="Failed"/>
    <s v="Invalid PIN"/>
    <n v="0"/>
    <n v="0"/>
    <s v="Australia"/>
  </r>
  <r>
    <s v="T0016"/>
    <s v="1/22/2025"/>
    <s v="4:41:43"/>
    <s v="CUST4684"/>
    <s v="MER806"/>
    <s v="Credit Card"/>
    <s v="Refund"/>
    <n v="1727.92"/>
    <x v="4"/>
    <s v="Success"/>
    <s v="Completed"/>
    <n v="34.56"/>
    <n v="1693.36"/>
    <s v="Canada"/>
  </r>
  <r>
    <s v="T0017"/>
    <s v="1/5/2025"/>
    <s v="5:02:02"/>
    <s v="CUST8821"/>
    <s v="MER152"/>
    <s v="Wallet"/>
    <s v="Subscription"/>
    <n v="3887.27"/>
    <x v="3"/>
    <s v="Success"/>
    <s v="Completed"/>
    <n v="77.75"/>
    <n v="3809.52"/>
    <s v="Canada"/>
  </r>
  <r>
    <s v="T0018"/>
    <s v="1/2/2025"/>
    <s v="7:45:59"/>
    <s v="CUST5935"/>
    <s v="MER434"/>
    <s v="Wallet"/>
    <s v="Subscription"/>
    <n v="1856.42"/>
    <x v="4"/>
    <s v="Failed"/>
    <s v="Insufficient Funds"/>
    <n v="0"/>
    <n v="0"/>
    <s v="Canada"/>
  </r>
  <r>
    <s v="T0019"/>
    <s v="1/16/2025"/>
    <s v="12:19:52"/>
    <s v="CUST8821"/>
    <s v="MER241"/>
    <s v="Wallet"/>
    <s v="Subscription"/>
    <n v="3386.06"/>
    <x v="2"/>
    <s v="Failed"/>
    <s v="Completed"/>
    <n v="0"/>
    <n v="0"/>
    <s v="UK"/>
  </r>
  <r>
    <s v="T0020"/>
    <s v="1/1/2025"/>
    <s v="3:34:34"/>
    <s v="CUST3124"/>
    <s v="MER543"/>
    <s v="UPI"/>
    <s v="Purchase"/>
    <n v="3763.53"/>
    <x v="0"/>
    <s v="Success"/>
    <s v="Completed"/>
    <n v="75.27"/>
    <n v="3688.26"/>
    <s v="Canada"/>
  </r>
  <r>
    <s v="T0021"/>
    <s v="1/21/2025"/>
    <s v="17:04:39"/>
    <s v="CUST3242"/>
    <s v="MER429"/>
    <s v="Credit Card"/>
    <s v="Purchase"/>
    <n v="2169.5500000000002"/>
    <x v="2"/>
    <s v="Failed"/>
    <s v="Insufficient Funds"/>
    <n v="0"/>
    <n v="0"/>
    <s v="USA"/>
  </r>
  <r>
    <s v="T0022"/>
    <s v="1/6/2025"/>
    <s v="19:16:01"/>
    <s v="CUST6471"/>
    <s v="MER317"/>
    <s v="Wallet"/>
    <s v="Refund"/>
    <n v="4058.95"/>
    <x v="3"/>
    <s v="Failed"/>
    <s v="Invalid PIN"/>
    <n v="0"/>
    <n v="0"/>
    <s v="USA"/>
  </r>
  <r>
    <s v="T0023"/>
    <s v="1/14/2025"/>
    <s v="6:31:39"/>
    <s v="CUST7870"/>
    <s v="MER739"/>
    <s v="UPI"/>
    <s v="Subscription"/>
    <n v="365.03"/>
    <x v="3"/>
    <s v="Failed"/>
    <s v="Card Expired"/>
    <n v="0"/>
    <n v="0"/>
    <s v="USA"/>
  </r>
  <r>
    <s v="T0024"/>
    <s v="1/2/2025"/>
    <s v="1:29:05"/>
    <s v="CUST8329"/>
    <s v="MER153"/>
    <s v="UPI"/>
    <s v="Purchase"/>
    <n v="4534.22"/>
    <x v="3"/>
    <s v="Success"/>
    <s v="Completed"/>
    <n v="90.68"/>
    <n v="4443.54"/>
    <s v="Australia"/>
  </r>
  <r>
    <s v="T0025"/>
    <s v="1/16/2025"/>
    <s v="19:47:14"/>
    <s v="CUST5541"/>
    <s v="MER684"/>
    <s v="Credit Card"/>
    <s v="Refund"/>
    <n v="191.69"/>
    <x v="4"/>
    <s v="Success"/>
    <s v="Completed"/>
    <n v="3.83"/>
    <n v="187.86"/>
    <s v="USA"/>
  </r>
  <r>
    <s v="T0026"/>
    <s v="1/24/2025"/>
    <s v="8:15:58"/>
    <s v="CUST9555"/>
    <s v="MER941"/>
    <s v="Credit Card"/>
    <s v="Purchase"/>
    <n v="3170.77"/>
    <x v="2"/>
    <s v="Success"/>
    <s v="Completed"/>
    <n v="63.42"/>
    <n v="3107.35"/>
    <s v="USA"/>
  </r>
  <r>
    <s v="T0027"/>
    <s v="1/2/2025"/>
    <s v="16:58:41"/>
    <s v="CUST3259"/>
    <s v="MER229"/>
    <s v="Credit Card"/>
    <s v="Refund"/>
    <n v="1501.47"/>
    <x v="1"/>
    <s v="Success"/>
    <s v="Completed"/>
    <n v="30.03"/>
    <n v="1471.44"/>
    <s v="India"/>
  </r>
  <r>
    <s v="T0028"/>
    <s v="1/18/2025"/>
    <s v="6:57:25"/>
    <s v="CUST9501"/>
    <s v="MER121"/>
    <s v="Net Banking"/>
    <s v="Refund"/>
    <n v="228.92"/>
    <x v="2"/>
    <s v="Success"/>
    <s v="Completed"/>
    <n v="4.58"/>
    <n v="224.34"/>
    <s v="Canada"/>
  </r>
  <r>
    <s v="T0029"/>
    <s v="1/11/2025"/>
    <s v="13:12:35"/>
    <s v="CUST5653"/>
    <s v="MER205"/>
    <s v="Wallet"/>
    <s v="Subscription"/>
    <n v="2201.7199999999998"/>
    <x v="1"/>
    <s v="Success"/>
    <s v="Completed"/>
    <n v="44.03"/>
    <n v="2157.69"/>
    <s v="Canada"/>
  </r>
  <r>
    <s v="T0030"/>
    <s v="1/16/2025"/>
    <s v="8:18:31"/>
    <s v="CUST2412"/>
    <s v="MER689"/>
    <s v="Wallet"/>
    <s v="Refund"/>
    <n v="4229.42"/>
    <x v="4"/>
    <s v="Success"/>
    <s v="Completed"/>
    <n v="84.59"/>
    <n v="4144.83"/>
    <s v="Australia"/>
  </r>
  <r>
    <s v="T0031"/>
    <s v="1/8/2025"/>
    <s v="17:51:33"/>
    <s v="CUST9989"/>
    <s v="MER833"/>
    <s v="UPI"/>
    <s v="Refund"/>
    <n v="958.62"/>
    <x v="1"/>
    <s v="Failed"/>
    <s v="Insufficient Funds"/>
    <n v="0"/>
    <n v="0"/>
    <s v="USA"/>
  </r>
  <r>
    <s v="T0032"/>
    <s v="1/30/2025"/>
    <s v="13:59:11"/>
    <s v="CUST3812"/>
    <s v="MER639"/>
    <s v="Wallet"/>
    <s v="Purchase"/>
    <n v="2568.09"/>
    <x v="4"/>
    <s v="Success"/>
    <s v="Completed"/>
    <n v="51.36"/>
    <n v="2516.73"/>
    <s v="USA"/>
  </r>
  <r>
    <s v="T0033"/>
    <s v="1/10/2025"/>
    <s v="15:01:00"/>
    <s v="CUST7383"/>
    <s v="MER806"/>
    <s v="Net Banking"/>
    <s v="Purchase"/>
    <n v="376.7"/>
    <x v="1"/>
    <s v="Success"/>
    <s v="Completed"/>
    <n v="7.53"/>
    <n v="369.17"/>
    <s v="India"/>
  </r>
  <r>
    <s v="T0034"/>
    <s v="1/11/2025"/>
    <s v="13:04:56"/>
    <s v="CUST1647"/>
    <s v="MER195"/>
    <s v="Wallet"/>
    <s v="Purchase"/>
    <n v="4845.1400000000003"/>
    <x v="0"/>
    <s v="Success"/>
    <s v="Completed"/>
    <n v="96.9"/>
    <n v="4748.24"/>
    <s v="India"/>
  </r>
  <r>
    <s v="T0035"/>
    <s v="1/12/2025"/>
    <s v="4:56:48"/>
    <s v="CUST3077"/>
    <s v="MER846"/>
    <s v="Wallet"/>
    <s v="Subscription"/>
    <n v="1440.19"/>
    <x v="0"/>
    <s v="Failed"/>
    <s v="Insufficient Funds"/>
    <n v="0"/>
    <n v="0"/>
    <s v="Canada"/>
  </r>
  <r>
    <s v="T0036"/>
    <s v="1/1/2025"/>
    <s v="4:29:38"/>
    <s v="CUST4044"/>
    <s v="MER747"/>
    <s v="Credit Card"/>
    <s v="Purchase"/>
    <n v="4063.21"/>
    <x v="0"/>
    <s v="Failed"/>
    <s v="Invalid PIN"/>
    <n v="0"/>
    <n v="0"/>
    <s v="Australia"/>
  </r>
  <r>
    <s v="T0037"/>
    <s v="1/2/2025"/>
    <s v="15:19:56"/>
    <s v="CUST1349"/>
    <s v="MER417"/>
    <s v="Net Banking"/>
    <s v="Subscription"/>
    <n v="853.37"/>
    <x v="1"/>
    <s v="Success"/>
    <s v="Completed"/>
    <n v="17.07"/>
    <n v="836.3"/>
    <s v="UK"/>
  </r>
  <r>
    <s v="T0038"/>
    <s v="1/31/2025"/>
    <s v="22:43:57"/>
    <s v="CUST7745"/>
    <s v="MER165"/>
    <s v="Debit Card"/>
    <s v="Refund"/>
    <n v="3755.03"/>
    <x v="4"/>
    <s v="Failed"/>
    <s v="Completed"/>
    <n v="0"/>
    <n v="0"/>
    <s v="Australia"/>
  </r>
  <r>
    <s v="T0039"/>
    <s v="1/7/2025"/>
    <s v="17:03:44"/>
    <s v="CUST7687"/>
    <s v="MER726"/>
    <s v="Debit Card"/>
    <s v="Purchase"/>
    <n v="4059.05"/>
    <x v="0"/>
    <s v="Failed"/>
    <s v="Card Expired"/>
    <n v="0"/>
    <n v="0"/>
    <s v="Australia"/>
  </r>
  <r>
    <s v="T0040"/>
    <s v="1/25/2025"/>
    <s v="7:05:57"/>
    <s v="CUST5141"/>
    <s v="MER607"/>
    <s v="Debit Card"/>
    <s v="Subscription"/>
    <n v="3023.24"/>
    <x v="0"/>
    <s v="Failed"/>
    <s v="Completed"/>
    <n v="0"/>
    <n v="0"/>
    <s v="Australia"/>
  </r>
  <r>
    <s v="T0041"/>
    <s v="1/27/2025"/>
    <s v="10:44:16"/>
    <s v="CUST4921"/>
    <s v="MER775"/>
    <s v="UPI"/>
    <s v="Refund"/>
    <n v="588.4"/>
    <x v="2"/>
    <s v="Success"/>
    <s v="Completed"/>
    <n v="11.77"/>
    <n v="576.63"/>
    <s v="Australia"/>
  </r>
  <r>
    <s v="T0042"/>
    <s v="1/17/2025"/>
    <s v="19:56:26"/>
    <s v="CUST7841"/>
    <s v="MER976"/>
    <s v="Debit Card"/>
    <s v="Refund"/>
    <n v="157.19999999999999"/>
    <x v="4"/>
    <s v="Success"/>
    <s v="Completed"/>
    <n v="3.14"/>
    <n v="154.06"/>
    <s v="Australia"/>
  </r>
  <r>
    <s v="T0043"/>
    <s v="1/28/2025"/>
    <s v="4:41:08"/>
    <s v="CUST9848"/>
    <s v="MER360"/>
    <s v="Wallet"/>
    <s v="Subscription"/>
    <n v="3207.77"/>
    <x v="4"/>
    <s v="Success"/>
    <s v="Completed"/>
    <n v="64.16"/>
    <n v="3143.61"/>
    <s v="USA"/>
  </r>
  <r>
    <s v="T0044"/>
    <s v="1/28/2025"/>
    <s v="11:00:40"/>
    <s v="CUST3778"/>
    <s v="MER208"/>
    <s v="Credit Card"/>
    <s v="Purchase"/>
    <n v="4810.12"/>
    <x v="4"/>
    <s v="Success"/>
    <s v="Completed"/>
    <n v="96.2"/>
    <n v="4713.92"/>
    <s v="UK"/>
  </r>
  <r>
    <s v="T0045"/>
    <s v="1/29/2025"/>
    <s v="7:01:13"/>
    <s v="CUST7622"/>
    <s v="MER467"/>
    <s v="Wallet"/>
    <s v="Subscription"/>
    <n v="2592.4499999999998"/>
    <x v="2"/>
    <s v="Success"/>
    <s v="Completed"/>
    <n v="51.85"/>
    <n v="2540.6"/>
    <s v="Australia"/>
  </r>
  <r>
    <s v="T0046"/>
    <s v="1/14/2025"/>
    <s v="6:23:04"/>
    <s v="CUST4469"/>
    <s v="MER548"/>
    <s v="UPI"/>
    <s v="Subscription"/>
    <n v="1214.9100000000001"/>
    <x v="4"/>
    <s v="Success"/>
    <s v="Completed"/>
    <n v="24.3"/>
    <n v="1190.6099999999999"/>
    <s v="USA"/>
  </r>
  <r>
    <s v="T0047"/>
    <s v="1/20/2025"/>
    <s v="6:29:29"/>
    <s v="CUST8028"/>
    <s v="MER669"/>
    <s v="Net Banking"/>
    <s v="Purchase"/>
    <n v="1528.95"/>
    <x v="2"/>
    <s v="Success"/>
    <s v="Completed"/>
    <n v="30.58"/>
    <n v="1498.37"/>
    <s v="UK"/>
  </r>
  <r>
    <s v="T0048"/>
    <s v="1/27/2025"/>
    <s v="2:28:51"/>
    <s v="CUST5505"/>
    <s v="MER934"/>
    <s v="Debit Card"/>
    <s v="Refund"/>
    <n v="730.12"/>
    <x v="2"/>
    <s v="Success"/>
    <s v="Completed"/>
    <n v="14.6"/>
    <n v="715.52"/>
    <s v="India"/>
  </r>
  <r>
    <s v="T0049"/>
    <s v="1/15/2025"/>
    <s v="23:58:05"/>
    <s v="CUST9007"/>
    <s v="MER342"/>
    <s v="Net Banking"/>
    <s v="Refund"/>
    <n v="4650.09"/>
    <x v="3"/>
    <s v="Failed"/>
    <s v="Card Expired"/>
    <n v="0"/>
    <n v="0"/>
    <s v="India"/>
  </r>
  <r>
    <s v="T0050"/>
    <s v="1/14/2025"/>
    <s v="12:21:16"/>
    <s v="CUST4509"/>
    <s v="MER327"/>
    <s v="Debit Card"/>
    <s v="Refund"/>
    <n v="3209.93"/>
    <x v="0"/>
    <s v="Failed"/>
    <s v="Insufficient Funds"/>
    <n v="0"/>
    <n v="0"/>
    <s v="Australia"/>
  </r>
  <r>
    <s v="T0051"/>
    <s v="1/5/2025"/>
    <s v="23:26:24"/>
    <s v="CUST1560"/>
    <s v="MER676"/>
    <s v="Credit Card"/>
    <s v="Refund"/>
    <n v="3849.15"/>
    <x v="2"/>
    <s v="Success"/>
    <s v="Completed"/>
    <n v="76.98"/>
    <n v="3772.17"/>
    <s v="USA"/>
  </r>
  <r>
    <s v="T0052"/>
    <s v="1/20/2025"/>
    <s v="15:59:13"/>
    <s v="CUST8415"/>
    <s v="MER769"/>
    <s v="Credit Card"/>
    <s v="Purchase"/>
    <n v="145.56"/>
    <x v="3"/>
    <s v="Success"/>
    <s v="Completed"/>
    <n v="2.91"/>
    <n v="142.65"/>
    <s v="USA"/>
  </r>
  <r>
    <s v="T0053"/>
    <s v="1/6/2025"/>
    <s v="23:58:11"/>
    <s v="CUST6061"/>
    <s v="MER949"/>
    <s v="Wallet"/>
    <s v="Subscription"/>
    <n v="2645.24"/>
    <x v="0"/>
    <s v="Failed"/>
    <s v="Card Expired"/>
    <n v="0"/>
    <n v="0"/>
    <s v="Australia"/>
  </r>
  <r>
    <s v="T0054"/>
    <s v="1/18/2025"/>
    <s v="15:14:00"/>
    <s v="CUST3027"/>
    <s v="MER341"/>
    <s v="Credit Card"/>
    <s v="Purchase"/>
    <n v="4790.95"/>
    <x v="2"/>
    <s v="Success"/>
    <s v="Completed"/>
    <n v="95.82"/>
    <n v="4695.13"/>
    <s v="Australia"/>
  </r>
  <r>
    <s v="T0055"/>
    <s v="1/19/2025"/>
    <s v="11:15:49"/>
    <s v="CUST3567"/>
    <s v="MER240"/>
    <s v="Credit Card"/>
    <s v="Purchase"/>
    <n v="297.3"/>
    <x v="4"/>
    <s v="Failed"/>
    <s v="Insufficient Funds"/>
    <n v="0"/>
    <n v="0"/>
    <s v="UK"/>
  </r>
  <r>
    <s v="T0056"/>
    <s v="1/15/2025"/>
    <s v="8:24:37"/>
    <s v="CUST1610"/>
    <s v="MER263"/>
    <s v="Wallet"/>
    <s v="Purchase"/>
    <n v="1428.65"/>
    <x v="0"/>
    <s v="Failed"/>
    <s v="Completed"/>
    <n v="0"/>
    <n v="0"/>
    <s v="USA"/>
  </r>
  <r>
    <s v="T0057"/>
    <s v="1/7/2025"/>
    <s v="21:44:12"/>
    <s v="CUST1159"/>
    <s v="MER366"/>
    <s v="Wallet"/>
    <s v="Subscription"/>
    <n v="3719.31"/>
    <x v="1"/>
    <s v="Failed"/>
    <s v="Insufficient Funds"/>
    <n v="0"/>
    <n v="0"/>
    <s v="India"/>
  </r>
  <r>
    <s v="T0058"/>
    <s v="1/16/2025"/>
    <s v="5:13:37"/>
    <s v="CUST5219"/>
    <s v="MER396"/>
    <s v="Net Banking"/>
    <s v="Purchase"/>
    <n v="3601.1"/>
    <x v="3"/>
    <s v="Success"/>
    <s v="Completed"/>
    <n v="72.02"/>
    <n v="3529.08"/>
    <s v="UK"/>
  </r>
  <r>
    <s v="T0059"/>
    <s v="1/29/2025"/>
    <s v="14:58:25"/>
    <s v="CUST6037"/>
    <s v="MER590"/>
    <s v="Credit Card"/>
    <s v="Refund"/>
    <n v="3281.14"/>
    <x v="2"/>
    <s v="Failed"/>
    <s v="Insufficient Funds"/>
    <n v="0"/>
    <n v="0"/>
    <s v="India"/>
  </r>
  <r>
    <s v="T0060"/>
    <s v="1/26/2025"/>
    <s v="9:16:53"/>
    <s v="CUST7032"/>
    <s v="MER702"/>
    <s v="UPI"/>
    <s v="Subscription"/>
    <n v="1669.54"/>
    <x v="4"/>
    <s v="Failed"/>
    <s v="Card Expired"/>
    <n v="0"/>
    <n v="0"/>
    <s v="India"/>
  </r>
  <r>
    <s v="T0061"/>
    <s v="1/2/2025"/>
    <s v="3:25:17"/>
    <s v="CUST3728"/>
    <s v="MER681"/>
    <s v="Debit Card"/>
    <s v="Refund"/>
    <n v="1160.6300000000001"/>
    <x v="4"/>
    <s v="Failed"/>
    <s v="Card Expired"/>
    <n v="0"/>
    <n v="0"/>
    <s v="Australia"/>
  </r>
  <r>
    <s v="T0062"/>
    <s v="1/28/2025"/>
    <s v="12:06:08"/>
    <s v="CUST8928"/>
    <s v="MER142"/>
    <s v="UPI"/>
    <s v="Refund"/>
    <n v="1120.8900000000001"/>
    <x v="2"/>
    <s v="Success"/>
    <s v="Completed"/>
    <n v="22.42"/>
    <n v="1098.47"/>
    <s v="Australia"/>
  </r>
  <r>
    <s v="T0063"/>
    <s v="1/12/2025"/>
    <s v="9:31:53"/>
    <s v="CUST1177"/>
    <s v="MER628"/>
    <s v="UPI"/>
    <s v="Subscription"/>
    <n v="1329.5"/>
    <x v="1"/>
    <s v="Failed"/>
    <s v="Insufficient Funds"/>
    <n v="0"/>
    <n v="0"/>
    <s v="UK"/>
  </r>
  <r>
    <s v="T0064"/>
    <s v="1/30/2025"/>
    <s v="8:33:24"/>
    <s v="CUST1097"/>
    <s v="MER821"/>
    <s v="Net Banking"/>
    <s v="Refund"/>
    <n v="3216.19"/>
    <x v="0"/>
    <s v="Success"/>
    <s v="Completed"/>
    <n v="64.319999999999993"/>
    <n v="3151.87"/>
    <s v="Australia"/>
  </r>
  <r>
    <s v="T0065"/>
    <s v="1/1/2025"/>
    <s v="2:12:45"/>
    <s v="CUST5015"/>
    <s v="MER429"/>
    <s v="Credit Card"/>
    <s v="Purchase"/>
    <n v="3005.94"/>
    <x v="2"/>
    <s v="Failed"/>
    <s v="Completed"/>
    <n v="0"/>
    <n v="0"/>
    <s v="India"/>
  </r>
  <r>
    <s v="T0066"/>
    <s v="1/3/2025"/>
    <s v="11:03:50"/>
    <s v="CUST9490"/>
    <s v="MER837"/>
    <s v="Net Banking"/>
    <s v="Purchase"/>
    <n v="3716.34"/>
    <x v="4"/>
    <s v="Success"/>
    <s v="Completed"/>
    <n v="74.33"/>
    <n v="3642.01"/>
    <s v="UK"/>
  </r>
  <r>
    <s v="T0067"/>
    <s v="1/14/2025"/>
    <s v="4:27:22"/>
    <s v="CUST4028"/>
    <s v="MER143"/>
    <s v="Wallet"/>
    <s v="Purchase"/>
    <n v="2905.35"/>
    <x v="1"/>
    <s v="Failed"/>
    <s v="Card Expired"/>
    <n v="0"/>
    <n v="0"/>
    <s v="Canada"/>
  </r>
  <r>
    <s v="T0068"/>
    <s v="1/26/2025"/>
    <s v="7:20:53"/>
    <s v="CUST3964"/>
    <s v="MER117"/>
    <s v="Wallet"/>
    <s v="Subscription"/>
    <n v="2920.18"/>
    <x v="0"/>
    <s v="Success"/>
    <s v="Completed"/>
    <n v="58.4"/>
    <n v="2861.78"/>
    <s v="USA"/>
  </r>
  <r>
    <s v="T0069"/>
    <s v="1/14/2025"/>
    <s v="0:29:49"/>
    <s v="CUST4674"/>
    <s v="MER839"/>
    <s v="UPI"/>
    <s v="Purchase"/>
    <n v="1150.1400000000001"/>
    <x v="2"/>
    <s v="Failed"/>
    <s v="Card Expired"/>
    <n v="0"/>
    <n v="0"/>
    <s v="India"/>
  </r>
  <r>
    <s v="T0070"/>
    <s v="1/3/2025"/>
    <s v="2:14:51"/>
    <s v="CUST6364"/>
    <s v="MER733"/>
    <s v="Wallet"/>
    <s v="Subscription"/>
    <n v="1350.42"/>
    <x v="4"/>
    <s v="Success"/>
    <s v="Completed"/>
    <n v="27.01"/>
    <n v="1323.41"/>
    <s v="USA"/>
  </r>
  <r>
    <s v="T0071"/>
    <s v="1/20/2025"/>
    <s v="11:23:13"/>
    <s v="CUST4437"/>
    <s v="MER526"/>
    <s v="Debit Card"/>
    <s v="Purchase"/>
    <n v="4682.4799999999996"/>
    <x v="4"/>
    <s v="Success"/>
    <s v="Completed"/>
    <n v="93.65"/>
    <n v="4588.83"/>
    <s v="UK"/>
  </r>
  <r>
    <s v="T0072"/>
    <s v="1/20/2025"/>
    <s v="11:49:21"/>
    <s v="CUST7592"/>
    <s v="MER395"/>
    <s v="Net Banking"/>
    <s v="Purchase"/>
    <n v="284.18"/>
    <x v="0"/>
    <s v="Failed"/>
    <s v="Completed"/>
    <n v="0"/>
    <n v="0"/>
    <s v="Australia"/>
  </r>
  <r>
    <s v="T0073"/>
    <s v="1/5/2025"/>
    <s v="9:34:25"/>
    <s v="CUST1198"/>
    <s v="MER906"/>
    <s v="Wallet"/>
    <s v="Purchase"/>
    <n v="4143.62"/>
    <x v="2"/>
    <s v="Failed"/>
    <s v="Card Expired"/>
    <n v="0"/>
    <n v="0"/>
    <s v="India"/>
  </r>
  <r>
    <s v="T0074"/>
    <s v="1/20/2025"/>
    <s v="22:40:33"/>
    <s v="CUST4604"/>
    <s v="MER914"/>
    <s v="Credit Card"/>
    <s v="Refund"/>
    <n v="405.04"/>
    <x v="2"/>
    <s v="Failed"/>
    <s v="Invalid PIN"/>
    <n v="0"/>
    <n v="0"/>
    <s v="UK"/>
  </r>
  <r>
    <s v="T0075"/>
    <s v="1/8/2025"/>
    <s v="19:02:12"/>
    <s v="CUST3959"/>
    <s v="MER184"/>
    <s v="Credit Card"/>
    <s v="Subscription"/>
    <n v="226.51"/>
    <x v="0"/>
    <s v="Success"/>
    <s v="Completed"/>
    <n v="4.53"/>
    <n v="221.98"/>
    <s v="India"/>
  </r>
  <r>
    <s v="T0076"/>
    <s v="1/11/2025"/>
    <s v="13:59:57"/>
    <s v="CUST1986"/>
    <s v="MER165"/>
    <s v="Net Banking"/>
    <s v="Purchase"/>
    <n v="1414.17"/>
    <x v="0"/>
    <s v="Success"/>
    <s v="Completed"/>
    <n v="28.28"/>
    <n v="1385.89"/>
    <s v="Canada"/>
  </r>
  <r>
    <s v="T0077"/>
    <s v="1/11/2025"/>
    <s v="11:01:15"/>
    <s v="CUST1344"/>
    <s v="MER661"/>
    <s v="Wallet"/>
    <s v="Refund"/>
    <n v="4164.8"/>
    <x v="1"/>
    <s v="Success"/>
    <s v="Completed"/>
    <n v="83.3"/>
    <n v="4081.5"/>
    <s v="Australia"/>
  </r>
  <r>
    <s v="T0078"/>
    <s v="1/10/2025"/>
    <s v="8:55:07"/>
    <s v="CUST4127"/>
    <s v="MER426"/>
    <s v="Wallet"/>
    <s v="Refund"/>
    <n v="923.44"/>
    <x v="1"/>
    <s v="Failed"/>
    <s v="Completed"/>
    <n v="0"/>
    <n v="0"/>
    <s v="USA"/>
  </r>
  <r>
    <s v="T0079"/>
    <s v="1/16/2025"/>
    <s v="11:03:33"/>
    <s v="CUST3634"/>
    <s v="MER167"/>
    <s v="Debit Card"/>
    <s v="Refund"/>
    <n v="3585.36"/>
    <x v="1"/>
    <s v="Failed"/>
    <s v="Completed"/>
    <n v="0"/>
    <n v="0"/>
    <s v="India"/>
  </r>
  <r>
    <s v="T0080"/>
    <s v="1/20/2025"/>
    <s v="19:00:28"/>
    <s v="CUST4051"/>
    <s v="MER731"/>
    <s v="UPI"/>
    <s v="Subscription"/>
    <n v="332.55"/>
    <x v="3"/>
    <s v="Failed"/>
    <s v="Completed"/>
    <n v="0"/>
    <n v="0"/>
    <s v="Australia"/>
  </r>
  <r>
    <s v="T0081"/>
    <s v="1/5/2025"/>
    <s v="13:51:03"/>
    <s v="CUST6551"/>
    <s v="MER395"/>
    <s v="Credit Card"/>
    <s v="Refund"/>
    <n v="4215.55"/>
    <x v="0"/>
    <s v="Failed"/>
    <s v="Invalid PIN"/>
    <n v="0"/>
    <n v="0"/>
    <s v="USA"/>
  </r>
  <r>
    <s v="T0082"/>
    <s v="1/11/2025"/>
    <s v="13:43:31"/>
    <s v="CUST5590"/>
    <s v="MER312"/>
    <s v="Net Banking"/>
    <s v="Refund"/>
    <n v="3386.76"/>
    <x v="4"/>
    <s v="Failed"/>
    <s v="Card Expired"/>
    <n v="0"/>
    <n v="0"/>
    <s v="USA"/>
  </r>
  <r>
    <s v="T0083"/>
    <s v="1/6/2025"/>
    <s v="21:38:20"/>
    <s v="CUST8982"/>
    <s v="MER104"/>
    <s v="Credit Card"/>
    <s v="Refund"/>
    <n v="3307"/>
    <x v="1"/>
    <s v="Failed"/>
    <s v="Insufficient Funds"/>
    <n v="0"/>
    <n v="0"/>
    <s v="India"/>
  </r>
  <r>
    <s v="T0084"/>
    <s v="1/13/2025"/>
    <s v="7:42:05"/>
    <s v="CUST8445"/>
    <s v="MER698"/>
    <s v="Credit Card"/>
    <s v="Purchase"/>
    <n v="1946.68"/>
    <x v="1"/>
    <s v="Success"/>
    <s v="Completed"/>
    <n v="38.93"/>
    <n v="1907.75"/>
    <s v="Australia"/>
  </r>
  <r>
    <s v="T0085"/>
    <s v="1/11/2025"/>
    <s v="6:08:01"/>
    <s v="CUST6819"/>
    <s v="MER860"/>
    <s v="UPI"/>
    <s v="Purchase"/>
    <n v="3141.59"/>
    <x v="3"/>
    <s v="Failed"/>
    <s v="Invalid PIN"/>
    <n v="0"/>
    <n v="0"/>
    <s v="Australia"/>
  </r>
  <r>
    <s v="T0086"/>
    <s v="1/14/2025"/>
    <s v="0:08:25"/>
    <s v="CUST5604"/>
    <s v="MER539"/>
    <s v="UPI"/>
    <s v="Purchase"/>
    <n v="1830.94"/>
    <x v="4"/>
    <s v="Success"/>
    <s v="Completed"/>
    <n v="36.619999999999997"/>
    <n v="1794.32"/>
    <s v="Australia"/>
  </r>
  <r>
    <s v="T0087"/>
    <s v="1/31/2025"/>
    <s v="14:01:58"/>
    <s v="CUST9246"/>
    <s v="MER336"/>
    <s v="UPI"/>
    <s v="Refund"/>
    <n v="4768.07"/>
    <x v="2"/>
    <s v="Success"/>
    <s v="Completed"/>
    <n v="95.36"/>
    <n v="4672.71"/>
    <s v="Australia"/>
  </r>
  <r>
    <s v="T0088"/>
    <s v="1/30/2025"/>
    <s v="4:04:43"/>
    <s v="CUST9828"/>
    <s v="MER370"/>
    <s v="Net Banking"/>
    <s v="Refund"/>
    <n v="3189.18"/>
    <x v="1"/>
    <s v="Success"/>
    <s v="Completed"/>
    <n v="63.78"/>
    <n v="3125.4"/>
    <s v="USA"/>
  </r>
  <r>
    <s v="T0089"/>
    <s v="1/11/2025"/>
    <s v="13:37:42"/>
    <s v="CUST6277"/>
    <s v="MER293"/>
    <s v="Wallet"/>
    <s v="Refund"/>
    <n v="2314.25"/>
    <x v="4"/>
    <s v="Failed"/>
    <s v="Network Error"/>
    <n v="0"/>
    <n v="0"/>
    <s v="Australia"/>
  </r>
  <r>
    <s v="T0090"/>
    <s v="1/3/2025"/>
    <s v="18:33:46"/>
    <s v="CUST7059"/>
    <s v="MER934"/>
    <s v="Wallet"/>
    <s v="Subscription"/>
    <n v="1940.52"/>
    <x v="2"/>
    <s v="Failed"/>
    <s v="Network Error"/>
    <n v="0"/>
    <n v="0"/>
    <s v="India"/>
  </r>
  <r>
    <s v="T0091"/>
    <s v="1/7/2025"/>
    <s v="21:38:43"/>
    <s v="CUST7183"/>
    <s v="MER205"/>
    <s v="Net Banking"/>
    <s v="Refund"/>
    <n v="2454.9699999999998"/>
    <x v="4"/>
    <s v="Failed"/>
    <s v="Card Expired"/>
    <n v="0"/>
    <n v="0"/>
    <s v="USA"/>
  </r>
  <r>
    <s v="T0092"/>
    <s v="1/25/2025"/>
    <s v="23:01:47"/>
    <s v="CUST4543"/>
    <s v="MER960"/>
    <s v="UPI"/>
    <s v="Subscription"/>
    <n v="4548.04"/>
    <x v="2"/>
    <s v="Success"/>
    <s v="Completed"/>
    <n v="90.96"/>
    <n v="4457.08"/>
    <s v="UK"/>
  </r>
  <r>
    <s v="T0093"/>
    <s v="1/7/2025"/>
    <s v="2:31:43"/>
    <s v="CUST1682"/>
    <s v="MER638"/>
    <s v="Credit Card"/>
    <s v="Purchase"/>
    <n v="4750.95"/>
    <x v="4"/>
    <s v="Success"/>
    <s v="Completed"/>
    <n v="95.02"/>
    <n v="4655.93"/>
    <s v="India"/>
  </r>
  <r>
    <s v="T0094"/>
    <s v="1/9/2025"/>
    <s v="8:29:35"/>
    <s v="CUST1477"/>
    <s v="MER652"/>
    <s v="Credit Card"/>
    <s v="Refund"/>
    <n v="839.69"/>
    <x v="3"/>
    <s v="Failed"/>
    <s v="Invalid PIN"/>
    <n v="0"/>
    <n v="0"/>
    <s v="UK"/>
  </r>
  <r>
    <s v="T0095"/>
    <s v="1/28/2025"/>
    <s v="8:26:57"/>
    <s v="CUST3544"/>
    <s v="MER136"/>
    <s v="Credit Card"/>
    <s v="Refund"/>
    <n v="4733.71"/>
    <x v="0"/>
    <s v="Success"/>
    <s v="Completed"/>
    <n v="94.67"/>
    <n v="4639.04"/>
    <s v="Australia"/>
  </r>
  <r>
    <s v="T0096"/>
    <s v="1/23/2025"/>
    <s v="11:51:20"/>
    <s v="CUST3952"/>
    <s v="MER160"/>
    <s v="Wallet"/>
    <s v="Purchase"/>
    <n v="983.95"/>
    <x v="4"/>
    <s v="Failed"/>
    <s v="Completed"/>
    <n v="0"/>
    <n v="0"/>
    <s v="USA"/>
  </r>
  <r>
    <s v="T0097"/>
    <s v="1/12/2025"/>
    <s v="8:30:33"/>
    <s v="CUST4239"/>
    <s v="MER686"/>
    <s v="UPI"/>
    <s v="Purchase"/>
    <n v="2306.11"/>
    <x v="0"/>
    <s v="Failed"/>
    <s v="Network Error"/>
    <n v="0"/>
    <n v="0"/>
    <s v="Australia"/>
  </r>
  <r>
    <s v="T0098"/>
    <s v="1/3/2025"/>
    <s v="0:15:21"/>
    <s v="CUST4006"/>
    <s v="MER365"/>
    <s v="Debit Card"/>
    <s v="Refund"/>
    <n v="3902.86"/>
    <x v="0"/>
    <s v="Failed"/>
    <s v="Card Expired"/>
    <n v="0"/>
    <n v="0"/>
    <s v="Canada"/>
  </r>
  <r>
    <s v="T0099"/>
    <s v="1/19/2025"/>
    <s v="0:31:49"/>
    <s v="CUST5449"/>
    <s v="MER477"/>
    <s v="Debit Card"/>
    <s v="Purchase"/>
    <n v="2455.27"/>
    <x v="4"/>
    <s v="Failed"/>
    <s v="Invalid PIN"/>
    <n v="0"/>
    <n v="0"/>
    <s v="Canada"/>
  </r>
  <r>
    <s v="T0100"/>
    <s v="1/23/2025"/>
    <s v="8:54:38"/>
    <s v="CUST4036"/>
    <s v="MER207"/>
    <s v="Net Banking"/>
    <s v="Purchase"/>
    <n v="4721.8599999999997"/>
    <x v="3"/>
    <s v="Success"/>
    <s v="Completed"/>
    <n v="94.44"/>
    <n v="4627.42"/>
    <s v="Indi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x v="0"/>
    <n v="0"/>
    <n v="0"/>
    <s v="USA"/>
  </r>
  <r>
    <s v="T0002"/>
    <s v="1/27/2025"/>
    <s v="15:15:08"/>
    <s v="CUST6500"/>
    <s v="MER882"/>
    <s v="Debit Card"/>
    <s v="Refund"/>
    <n v="3433.6"/>
    <s v="USD"/>
    <s v="Failed"/>
    <x v="1"/>
    <n v="0"/>
    <n v="0"/>
    <s v="USA"/>
  </r>
  <r>
    <s v="T0003"/>
    <s v="1/14/2025"/>
    <s v="20:31:23"/>
    <s v="CUST3480"/>
    <s v="MER797"/>
    <s v="UPI"/>
    <s v="Subscription"/>
    <n v="4534.18"/>
    <s v="USD"/>
    <s v="Failed"/>
    <x v="2"/>
    <n v="0"/>
    <n v="0"/>
    <s v="Australia"/>
  </r>
  <r>
    <s v="T0004"/>
    <s v="1/3/2025"/>
    <s v="18:01:55"/>
    <s v="CUST3978"/>
    <s v="MER166"/>
    <s v="Wallet"/>
    <s v="Purchase"/>
    <n v="2978.47"/>
    <s v="USD"/>
    <s v="Success"/>
    <x v="3"/>
    <n v="59.57"/>
    <n v="2918.9"/>
    <s v="Canada"/>
  </r>
  <r>
    <s v="T0005"/>
    <s v="1/2/2025"/>
    <s v="8:46:30"/>
    <s v="CUST7766"/>
    <s v="MER620"/>
    <s v="Net Banking"/>
    <s v="Purchase"/>
    <n v="3690.48"/>
    <s v="USD"/>
    <s v="Failed"/>
    <x v="3"/>
    <n v="0"/>
    <n v="0"/>
    <s v="Canada"/>
  </r>
  <r>
    <s v="T0006"/>
    <s v="1/29/2025"/>
    <s v="11:33:00"/>
    <s v="CUST1423"/>
    <s v="MER587"/>
    <s v="Wallet"/>
    <s v="Purchase"/>
    <n v="1119.6300000000001"/>
    <s v="INR"/>
    <s v="Success"/>
    <x v="3"/>
    <n v="22.39"/>
    <n v="1097.24"/>
    <s v="UK"/>
  </r>
  <r>
    <s v="T0007"/>
    <s v="1/27/2025"/>
    <s v="18:26:29"/>
    <s v="CUST5609"/>
    <s v="MER616"/>
    <s v="Wallet"/>
    <s v="Refund"/>
    <n v="4818.3999999999996"/>
    <s v="INR"/>
    <s v="Success"/>
    <x v="3"/>
    <n v="96.37"/>
    <n v="4722.03"/>
    <s v="USA"/>
  </r>
  <r>
    <s v="T0008"/>
    <s v="1/19/2025"/>
    <s v="8:48:50"/>
    <s v="CUST6471"/>
    <s v="MER159"/>
    <s v="Debit Card"/>
    <s v="Subscription"/>
    <n v="1965.15"/>
    <s v="INR"/>
    <s v="Failed"/>
    <x v="1"/>
    <n v="0"/>
    <n v="0"/>
    <s v="Canada"/>
  </r>
  <r>
    <s v="T0009"/>
    <s v="1/2/2025"/>
    <s v="15:22:59"/>
    <s v="CUST2524"/>
    <s v="MER540"/>
    <s v="Wallet"/>
    <s v="Purchase"/>
    <n v="4603.96"/>
    <s v="INR"/>
    <s v="Failed"/>
    <x v="3"/>
    <n v="0"/>
    <n v="0"/>
    <s v="Australia"/>
  </r>
  <r>
    <s v="T0010"/>
    <s v="1/21/2025"/>
    <s v="2:03:02"/>
    <s v="CUST6594"/>
    <s v="MER603"/>
    <s v="Net Banking"/>
    <s v="Purchase"/>
    <n v="2990.19"/>
    <s v="GBP"/>
    <s v="Failed"/>
    <x v="0"/>
    <n v="0"/>
    <n v="0"/>
    <s v="Canada"/>
  </r>
  <r>
    <s v="T0011"/>
    <s v="1/12/2025"/>
    <s v="7:53:35"/>
    <s v="CUST7865"/>
    <s v="MER707"/>
    <s v="Net Banking"/>
    <s v="Subscription"/>
    <n v="2396.3200000000002"/>
    <s v="USD"/>
    <s v="Success"/>
    <x v="3"/>
    <n v="47.93"/>
    <n v="2348.39"/>
    <s v="Canada"/>
  </r>
  <r>
    <s v="T0012"/>
    <s v="1/11/2025"/>
    <s v="8:57:22"/>
    <s v="CUST6188"/>
    <s v="MER561"/>
    <s v="Credit Card"/>
    <s v="Purchase"/>
    <n v="131.27000000000001"/>
    <s v="USD"/>
    <s v="Success"/>
    <x v="3"/>
    <n v="2.63"/>
    <n v="128.63999999999999"/>
    <s v="Canada"/>
  </r>
  <r>
    <s v="T0013"/>
    <s v="1/8/2025"/>
    <s v="0:32:35"/>
    <s v="CUST8175"/>
    <s v="MER359"/>
    <s v="Wallet"/>
    <s v="Subscription"/>
    <n v="4861.8"/>
    <s v="AUD"/>
    <s v="Failed"/>
    <x v="2"/>
    <n v="0"/>
    <n v="0"/>
    <s v="India"/>
  </r>
  <r>
    <s v="T0014"/>
    <s v="1/27/2025"/>
    <s v="3:26:44"/>
    <s v="CUST6623"/>
    <s v="MER551"/>
    <s v="Credit Card"/>
    <s v="Subscription"/>
    <n v="4513.13"/>
    <s v="CAD"/>
    <s v="Failed"/>
    <x v="1"/>
    <n v="0"/>
    <n v="0"/>
    <s v="USA"/>
  </r>
  <r>
    <s v="T0015"/>
    <s v="1/16/2025"/>
    <s v="4:05:55"/>
    <s v="CUST5095"/>
    <s v="MER282"/>
    <s v="Wallet"/>
    <s v="Refund"/>
    <n v="3282.68"/>
    <s v="USD"/>
    <s v="Failed"/>
    <x v="4"/>
    <n v="0"/>
    <n v="0"/>
    <s v="Australia"/>
  </r>
  <r>
    <s v="T0016"/>
    <s v="1/22/2025"/>
    <s v="4:41:43"/>
    <s v="CUST4684"/>
    <s v="MER806"/>
    <s v="Credit Card"/>
    <s v="Refund"/>
    <n v="1727.92"/>
    <s v="CAD"/>
    <s v="Success"/>
    <x v="3"/>
    <n v="34.56"/>
    <n v="1693.36"/>
    <s v="Canada"/>
  </r>
  <r>
    <s v="T0017"/>
    <s v="1/5/2025"/>
    <s v="5:02:02"/>
    <s v="CUST8821"/>
    <s v="MER152"/>
    <s v="Wallet"/>
    <s v="Subscription"/>
    <n v="3887.27"/>
    <s v="AUD"/>
    <s v="Success"/>
    <x v="3"/>
    <n v="77.75"/>
    <n v="3809.52"/>
    <s v="Canada"/>
  </r>
  <r>
    <s v="T0018"/>
    <s v="1/2/2025"/>
    <s v="7:45:59"/>
    <s v="CUST5935"/>
    <s v="MER434"/>
    <s v="Wallet"/>
    <s v="Subscription"/>
    <n v="1856.42"/>
    <s v="CAD"/>
    <s v="Failed"/>
    <x v="1"/>
    <n v="0"/>
    <n v="0"/>
    <s v="Canada"/>
  </r>
  <r>
    <s v="T0019"/>
    <s v="1/16/2025"/>
    <s v="12:19:52"/>
    <s v="CUST8821"/>
    <s v="MER241"/>
    <s v="Wallet"/>
    <s v="Subscription"/>
    <n v="3386.06"/>
    <s v="GBP"/>
    <s v="Failed"/>
    <x v="3"/>
    <n v="0"/>
    <n v="0"/>
    <s v="UK"/>
  </r>
  <r>
    <s v="T0020"/>
    <s v="1/1/2025"/>
    <s v="3:34:34"/>
    <s v="CUST3124"/>
    <s v="MER543"/>
    <s v="UPI"/>
    <s v="Purchase"/>
    <n v="3763.53"/>
    <s v="INR"/>
    <s v="Success"/>
    <x v="3"/>
    <n v="75.27"/>
    <n v="3688.26"/>
    <s v="Canada"/>
  </r>
  <r>
    <s v="T0021"/>
    <s v="1/21/2025"/>
    <s v="17:04:39"/>
    <s v="CUST3242"/>
    <s v="MER429"/>
    <s v="Credit Card"/>
    <s v="Purchase"/>
    <n v="2169.5500000000002"/>
    <s v="GBP"/>
    <s v="Failed"/>
    <x v="1"/>
    <n v="0"/>
    <n v="0"/>
    <s v="USA"/>
  </r>
  <r>
    <s v="T0022"/>
    <s v="1/6/2025"/>
    <s v="19:16:01"/>
    <s v="CUST6471"/>
    <s v="MER317"/>
    <s v="Wallet"/>
    <s v="Refund"/>
    <n v="4058.95"/>
    <s v="AUD"/>
    <s v="Failed"/>
    <x v="4"/>
    <n v="0"/>
    <n v="0"/>
    <s v="USA"/>
  </r>
  <r>
    <s v="T0023"/>
    <s v="1/14/2025"/>
    <s v="6:31:39"/>
    <s v="CUST7870"/>
    <s v="MER739"/>
    <s v="UPI"/>
    <s v="Subscription"/>
    <n v="365.03"/>
    <s v="AUD"/>
    <s v="Failed"/>
    <x v="2"/>
    <n v="0"/>
    <n v="0"/>
    <s v="USA"/>
  </r>
  <r>
    <s v="T0024"/>
    <s v="1/2/2025"/>
    <s v="1:29:05"/>
    <s v="CUST8329"/>
    <s v="MER153"/>
    <s v="UPI"/>
    <s v="Purchase"/>
    <n v="4534.22"/>
    <s v="AUD"/>
    <s v="Success"/>
    <x v="3"/>
    <n v="90.68"/>
    <n v="4443.54"/>
    <s v="Australia"/>
  </r>
  <r>
    <s v="T0025"/>
    <s v="1/16/2025"/>
    <s v="19:47:14"/>
    <s v="CUST5541"/>
    <s v="MER684"/>
    <s v="Credit Card"/>
    <s v="Refund"/>
    <n v="191.69"/>
    <s v="CAD"/>
    <s v="Success"/>
    <x v="3"/>
    <n v="3.83"/>
    <n v="187.86"/>
    <s v="USA"/>
  </r>
  <r>
    <s v="T0026"/>
    <s v="1/24/2025"/>
    <s v="8:15:58"/>
    <s v="CUST9555"/>
    <s v="MER941"/>
    <s v="Credit Card"/>
    <s v="Purchase"/>
    <n v="3170.77"/>
    <s v="GBP"/>
    <s v="Success"/>
    <x v="3"/>
    <n v="63.42"/>
    <n v="3107.35"/>
    <s v="USA"/>
  </r>
  <r>
    <s v="T0027"/>
    <s v="1/2/2025"/>
    <s v="16:58:41"/>
    <s v="CUST3259"/>
    <s v="MER229"/>
    <s v="Credit Card"/>
    <s v="Refund"/>
    <n v="1501.47"/>
    <s v="USD"/>
    <s v="Success"/>
    <x v="3"/>
    <n v="30.03"/>
    <n v="1471.44"/>
    <s v="India"/>
  </r>
  <r>
    <s v="T0028"/>
    <s v="1/18/2025"/>
    <s v="6:57:25"/>
    <s v="CUST9501"/>
    <s v="MER121"/>
    <s v="Net Banking"/>
    <s v="Refund"/>
    <n v="228.92"/>
    <s v="GBP"/>
    <s v="Success"/>
    <x v="3"/>
    <n v="4.58"/>
    <n v="224.34"/>
    <s v="Canada"/>
  </r>
  <r>
    <s v="T0029"/>
    <s v="1/11/2025"/>
    <s v="13:12:35"/>
    <s v="CUST5653"/>
    <s v="MER205"/>
    <s v="Wallet"/>
    <s v="Subscription"/>
    <n v="2201.7199999999998"/>
    <s v="USD"/>
    <s v="Success"/>
    <x v="3"/>
    <n v="44.03"/>
    <n v="2157.69"/>
    <s v="Canada"/>
  </r>
  <r>
    <s v="T0030"/>
    <s v="1/16/2025"/>
    <s v="8:18:31"/>
    <s v="CUST2412"/>
    <s v="MER689"/>
    <s v="Wallet"/>
    <s v="Refund"/>
    <n v="4229.42"/>
    <s v="CAD"/>
    <s v="Success"/>
    <x v="3"/>
    <n v="84.59"/>
    <n v="4144.83"/>
    <s v="Australia"/>
  </r>
  <r>
    <s v="T0031"/>
    <s v="1/8/2025"/>
    <s v="17:51:33"/>
    <s v="CUST9989"/>
    <s v="MER833"/>
    <s v="UPI"/>
    <s v="Refund"/>
    <n v="958.62"/>
    <s v="USD"/>
    <s v="Failed"/>
    <x v="1"/>
    <n v="0"/>
    <n v="0"/>
    <s v="USA"/>
  </r>
  <r>
    <s v="T0032"/>
    <s v="1/30/2025"/>
    <s v="13:59:11"/>
    <s v="CUST3812"/>
    <s v="MER639"/>
    <s v="Wallet"/>
    <s v="Purchase"/>
    <n v="2568.09"/>
    <s v="CAD"/>
    <s v="Success"/>
    <x v="3"/>
    <n v="51.36"/>
    <n v="2516.73"/>
    <s v="USA"/>
  </r>
  <r>
    <s v="T0033"/>
    <s v="1/10/2025"/>
    <s v="15:01:00"/>
    <s v="CUST7383"/>
    <s v="MER806"/>
    <s v="Net Banking"/>
    <s v="Purchase"/>
    <n v="376.7"/>
    <s v="USD"/>
    <s v="Success"/>
    <x v="3"/>
    <n v="7.53"/>
    <n v="369.17"/>
    <s v="India"/>
  </r>
  <r>
    <s v="T0034"/>
    <s v="1/11/2025"/>
    <s v="13:04:56"/>
    <s v="CUST1647"/>
    <s v="MER195"/>
    <s v="Wallet"/>
    <s v="Purchase"/>
    <n v="4845.1400000000003"/>
    <s v="INR"/>
    <s v="Success"/>
    <x v="3"/>
    <n v="96.9"/>
    <n v="4748.24"/>
    <s v="India"/>
  </r>
  <r>
    <s v="T0035"/>
    <s v="1/12/2025"/>
    <s v="4:56:48"/>
    <s v="CUST3077"/>
    <s v="MER846"/>
    <s v="Wallet"/>
    <s v="Subscription"/>
    <n v="1440.19"/>
    <s v="INR"/>
    <s v="Failed"/>
    <x v="1"/>
    <n v="0"/>
    <n v="0"/>
    <s v="Canada"/>
  </r>
  <r>
    <s v="T0036"/>
    <s v="1/1/2025"/>
    <s v="4:29:38"/>
    <s v="CUST4044"/>
    <s v="MER747"/>
    <s v="Credit Card"/>
    <s v="Purchase"/>
    <n v="4063.21"/>
    <s v="INR"/>
    <s v="Failed"/>
    <x v="4"/>
    <n v="0"/>
    <n v="0"/>
    <s v="Australia"/>
  </r>
  <r>
    <s v="T0037"/>
    <s v="1/2/2025"/>
    <s v="15:19:56"/>
    <s v="CUST1349"/>
    <s v="MER417"/>
    <s v="Net Banking"/>
    <s v="Subscription"/>
    <n v="853.37"/>
    <s v="USD"/>
    <s v="Success"/>
    <x v="3"/>
    <n v="17.07"/>
    <n v="836.3"/>
    <s v="UK"/>
  </r>
  <r>
    <s v="T0038"/>
    <s v="1/31/2025"/>
    <s v="22:43:57"/>
    <s v="CUST7745"/>
    <s v="MER165"/>
    <s v="Debit Card"/>
    <s v="Refund"/>
    <n v="3755.03"/>
    <s v="CAD"/>
    <s v="Failed"/>
    <x v="3"/>
    <n v="0"/>
    <n v="0"/>
    <s v="Australia"/>
  </r>
  <r>
    <s v="T0039"/>
    <s v="1/7/2025"/>
    <s v="17:03:44"/>
    <s v="CUST7687"/>
    <s v="MER726"/>
    <s v="Debit Card"/>
    <s v="Purchase"/>
    <n v="4059.05"/>
    <s v="INR"/>
    <s v="Failed"/>
    <x v="2"/>
    <n v="0"/>
    <n v="0"/>
    <s v="Australia"/>
  </r>
  <r>
    <s v="T0040"/>
    <s v="1/25/2025"/>
    <s v="7:05:57"/>
    <s v="CUST5141"/>
    <s v="MER607"/>
    <s v="Debit Card"/>
    <s v="Subscription"/>
    <n v="3023.24"/>
    <s v="INR"/>
    <s v="Failed"/>
    <x v="3"/>
    <n v="0"/>
    <n v="0"/>
    <s v="Australia"/>
  </r>
  <r>
    <s v="T0041"/>
    <s v="1/27/2025"/>
    <s v="10:44:16"/>
    <s v="CUST4921"/>
    <s v="MER775"/>
    <s v="UPI"/>
    <s v="Refund"/>
    <n v="588.4"/>
    <s v="GBP"/>
    <s v="Success"/>
    <x v="3"/>
    <n v="11.77"/>
    <n v="576.63"/>
    <s v="Australia"/>
  </r>
  <r>
    <s v="T0042"/>
    <s v="1/17/2025"/>
    <s v="19:56:26"/>
    <s v="CUST7841"/>
    <s v="MER976"/>
    <s v="Debit Card"/>
    <s v="Refund"/>
    <n v="157.19999999999999"/>
    <s v="CAD"/>
    <s v="Success"/>
    <x v="3"/>
    <n v="3.14"/>
    <n v="154.06"/>
    <s v="Australia"/>
  </r>
  <r>
    <s v="T0043"/>
    <s v="1/28/2025"/>
    <s v="4:41:08"/>
    <s v="CUST9848"/>
    <s v="MER360"/>
    <s v="Wallet"/>
    <s v="Subscription"/>
    <n v="3207.77"/>
    <s v="CAD"/>
    <s v="Success"/>
    <x v="3"/>
    <n v="64.16"/>
    <n v="3143.61"/>
    <s v="USA"/>
  </r>
  <r>
    <s v="T0044"/>
    <s v="1/28/2025"/>
    <s v="11:00:40"/>
    <s v="CUST3778"/>
    <s v="MER208"/>
    <s v="Credit Card"/>
    <s v="Purchase"/>
    <n v="4810.12"/>
    <s v="CAD"/>
    <s v="Success"/>
    <x v="3"/>
    <n v="96.2"/>
    <n v="4713.92"/>
    <s v="UK"/>
  </r>
  <r>
    <s v="T0045"/>
    <s v="1/29/2025"/>
    <s v="7:01:13"/>
    <s v="CUST7622"/>
    <s v="MER467"/>
    <s v="Wallet"/>
    <s v="Subscription"/>
    <n v="2592.4499999999998"/>
    <s v="GBP"/>
    <s v="Success"/>
    <x v="3"/>
    <n v="51.85"/>
    <n v="2540.6"/>
    <s v="Australia"/>
  </r>
  <r>
    <s v="T0046"/>
    <s v="1/14/2025"/>
    <s v="6:23:04"/>
    <s v="CUST4469"/>
    <s v="MER548"/>
    <s v="UPI"/>
    <s v="Subscription"/>
    <n v="1214.9100000000001"/>
    <s v="CAD"/>
    <s v="Success"/>
    <x v="3"/>
    <n v="24.3"/>
    <n v="1190.6099999999999"/>
    <s v="USA"/>
  </r>
  <r>
    <s v="T0047"/>
    <s v="1/20/2025"/>
    <s v="6:29:29"/>
    <s v="CUST8028"/>
    <s v="MER669"/>
    <s v="Net Banking"/>
    <s v="Purchase"/>
    <n v="1528.95"/>
    <s v="GBP"/>
    <s v="Success"/>
    <x v="3"/>
    <n v="30.58"/>
    <n v="1498.37"/>
    <s v="UK"/>
  </r>
  <r>
    <s v="T0048"/>
    <s v="1/27/2025"/>
    <s v="2:28:51"/>
    <s v="CUST5505"/>
    <s v="MER934"/>
    <s v="Debit Card"/>
    <s v="Refund"/>
    <n v="730.12"/>
    <s v="GBP"/>
    <s v="Success"/>
    <x v="3"/>
    <n v="14.6"/>
    <n v="715.52"/>
    <s v="India"/>
  </r>
  <r>
    <s v="T0049"/>
    <s v="1/15/2025"/>
    <s v="23:58:05"/>
    <s v="CUST9007"/>
    <s v="MER342"/>
    <s v="Net Banking"/>
    <s v="Refund"/>
    <n v="4650.09"/>
    <s v="AUD"/>
    <s v="Failed"/>
    <x v="2"/>
    <n v="0"/>
    <n v="0"/>
    <s v="India"/>
  </r>
  <r>
    <s v="T0050"/>
    <s v="1/14/2025"/>
    <s v="12:21:16"/>
    <s v="CUST4509"/>
    <s v="MER327"/>
    <s v="Debit Card"/>
    <s v="Refund"/>
    <n v="3209.93"/>
    <s v="INR"/>
    <s v="Failed"/>
    <x v="1"/>
    <n v="0"/>
    <n v="0"/>
    <s v="Australia"/>
  </r>
  <r>
    <s v="T0051"/>
    <s v="1/5/2025"/>
    <s v="23:26:24"/>
    <s v="CUST1560"/>
    <s v="MER676"/>
    <s v="Credit Card"/>
    <s v="Refund"/>
    <n v="3849.15"/>
    <s v="GBP"/>
    <s v="Success"/>
    <x v="3"/>
    <n v="76.98"/>
    <n v="3772.17"/>
    <s v="USA"/>
  </r>
  <r>
    <s v="T0052"/>
    <s v="1/20/2025"/>
    <s v="15:59:13"/>
    <s v="CUST8415"/>
    <s v="MER769"/>
    <s v="Credit Card"/>
    <s v="Purchase"/>
    <n v="145.56"/>
    <s v="AUD"/>
    <s v="Success"/>
    <x v="3"/>
    <n v="2.91"/>
    <n v="142.65"/>
    <s v="USA"/>
  </r>
  <r>
    <s v="T0053"/>
    <s v="1/6/2025"/>
    <s v="23:58:11"/>
    <s v="CUST6061"/>
    <s v="MER949"/>
    <s v="Wallet"/>
    <s v="Subscription"/>
    <n v="2645.24"/>
    <s v="INR"/>
    <s v="Failed"/>
    <x v="2"/>
    <n v="0"/>
    <n v="0"/>
    <s v="Australia"/>
  </r>
  <r>
    <s v="T0054"/>
    <s v="1/18/2025"/>
    <s v="15:14:00"/>
    <s v="CUST3027"/>
    <s v="MER341"/>
    <s v="Credit Card"/>
    <s v="Purchase"/>
    <n v="4790.95"/>
    <s v="GBP"/>
    <s v="Success"/>
    <x v="3"/>
    <n v="95.82"/>
    <n v="4695.13"/>
    <s v="Australia"/>
  </r>
  <r>
    <s v="T0055"/>
    <s v="1/19/2025"/>
    <s v="11:15:49"/>
    <s v="CUST3567"/>
    <s v="MER240"/>
    <s v="Credit Card"/>
    <s v="Purchase"/>
    <n v="297.3"/>
    <s v="CAD"/>
    <s v="Failed"/>
    <x v="1"/>
    <n v="0"/>
    <n v="0"/>
    <s v="UK"/>
  </r>
  <r>
    <s v="T0056"/>
    <s v="1/15/2025"/>
    <s v="8:24:37"/>
    <s v="CUST1610"/>
    <s v="MER263"/>
    <s v="Wallet"/>
    <s v="Purchase"/>
    <n v="1428.65"/>
    <s v="INR"/>
    <s v="Failed"/>
    <x v="3"/>
    <n v="0"/>
    <n v="0"/>
    <s v="USA"/>
  </r>
  <r>
    <s v="T0057"/>
    <s v="1/7/2025"/>
    <s v="21:44:12"/>
    <s v="CUST1159"/>
    <s v="MER366"/>
    <s v="Wallet"/>
    <s v="Subscription"/>
    <n v="3719.31"/>
    <s v="USD"/>
    <s v="Failed"/>
    <x v="1"/>
    <n v="0"/>
    <n v="0"/>
    <s v="India"/>
  </r>
  <r>
    <s v="T0058"/>
    <s v="1/16/2025"/>
    <s v="5:13:37"/>
    <s v="CUST5219"/>
    <s v="MER396"/>
    <s v="Net Banking"/>
    <s v="Purchase"/>
    <n v="3601.1"/>
    <s v="AUD"/>
    <s v="Success"/>
    <x v="3"/>
    <n v="72.02"/>
    <n v="3529.08"/>
    <s v="UK"/>
  </r>
  <r>
    <s v="T0059"/>
    <s v="1/29/2025"/>
    <s v="14:58:25"/>
    <s v="CUST6037"/>
    <s v="MER590"/>
    <s v="Credit Card"/>
    <s v="Refund"/>
    <n v="3281.14"/>
    <s v="GBP"/>
    <s v="Failed"/>
    <x v="1"/>
    <n v="0"/>
    <n v="0"/>
    <s v="India"/>
  </r>
  <r>
    <s v="T0060"/>
    <s v="1/26/2025"/>
    <s v="9:16:53"/>
    <s v="CUST7032"/>
    <s v="MER702"/>
    <s v="UPI"/>
    <s v="Subscription"/>
    <n v="1669.54"/>
    <s v="CAD"/>
    <s v="Failed"/>
    <x v="2"/>
    <n v="0"/>
    <n v="0"/>
    <s v="India"/>
  </r>
  <r>
    <s v="T0061"/>
    <s v="1/2/2025"/>
    <s v="3:25:17"/>
    <s v="CUST3728"/>
    <s v="MER681"/>
    <s v="Debit Card"/>
    <s v="Refund"/>
    <n v="1160.6300000000001"/>
    <s v="CAD"/>
    <s v="Failed"/>
    <x v="2"/>
    <n v="0"/>
    <n v="0"/>
    <s v="Australia"/>
  </r>
  <r>
    <s v="T0062"/>
    <s v="1/28/2025"/>
    <s v="12:06:08"/>
    <s v="CUST8928"/>
    <s v="MER142"/>
    <s v="UPI"/>
    <s v="Refund"/>
    <n v="1120.8900000000001"/>
    <s v="GBP"/>
    <s v="Success"/>
    <x v="3"/>
    <n v="22.42"/>
    <n v="1098.47"/>
    <s v="Australia"/>
  </r>
  <r>
    <s v="T0063"/>
    <s v="1/12/2025"/>
    <s v="9:31:53"/>
    <s v="CUST1177"/>
    <s v="MER628"/>
    <s v="UPI"/>
    <s v="Subscription"/>
    <n v="1329.5"/>
    <s v="USD"/>
    <s v="Failed"/>
    <x v="1"/>
    <n v="0"/>
    <n v="0"/>
    <s v="UK"/>
  </r>
  <r>
    <s v="T0064"/>
    <s v="1/30/2025"/>
    <s v="8:33:24"/>
    <s v="CUST1097"/>
    <s v="MER821"/>
    <s v="Net Banking"/>
    <s v="Refund"/>
    <n v="3216.19"/>
    <s v="INR"/>
    <s v="Success"/>
    <x v="3"/>
    <n v="64.319999999999993"/>
    <n v="3151.87"/>
    <s v="Australia"/>
  </r>
  <r>
    <s v="T0065"/>
    <s v="1/1/2025"/>
    <s v="2:12:45"/>
    <s v="CUST5015"/>
    <s v="MER429"/>
    <s v="Credit Card"/>
    <s v="Purchase"/>
    <n v="3005.94"/>
    <s v="GBP"/>
    <s v="Failed"/>
    <x v="3"/>
    <n v="0"/>
    <n v="0"/>
    <s v="India"/>
  </r>
  <r>
    <s v="T0066"/>
    <s v="1/3/2025"/>
    <s v="11:03:50"/>
    <s v="CUST9490"/>
    <s v="MER837"/>
    <s v="Net Banking"/>
    <s v="Purchase"/>
    <n v="3716.34"/>
    <s v="CAD"/>
    <s v="Success"/>
    <x v="3"/>
    <n v="74.33"/>
    <n v="3642.01"/>
    <s v="UK"/>
  </r>
  <r>
    <s v="T0067"/>
    <s v="1/14/2025"/>
    <s v="4:27:22"/>
    <s v="CUST4028"/>
    <s v="MER143"/>
    <s v="Wallet"/>
    <s v="Purchase"/>
    <n v="2905.35"/>
    <s v="USD"/>
    <s v="Failed"/>
    <x v="2"/>
    <n v="0"/>
    <n v="0"/>
    <s v="Canada"/>
  </r>
  <r>
    <s v="T0068"/>
    <s v="1/26/2025"/>
    <s v="7:20:53"/>
    <s v="CUST3964"/>
    <s v="MER117"/>
    <s v="Wallet"/>
    <s v="Subscription"/>
    <n v="2920.18"/>
    <s v="INR"/>
    <s v="Success"/>
    <x v="3"/>
    <n v="58.4"/>
    <n v="2861.78"/>
    <s v="USA"/>
  </r>
  <r>
    <s v="T0069"/>
    <s v="1/14/2025"/>
    <s v="0:29:49"/>
    <s v="CUST4674"/>
    <s v="MER839"/>
    <s v="UPI"/>
    <s v="Purchase"/>
    <n v="1150.1400000000001"/>
    <s v="GBP"/>
    <s v="Failed"/>
    <x v="2"/>
    <n v="0"/>
    <n v="0"/>
    <s v="India"/>
  </r>
  <r>
    <s v="T0070"/>
    <s v="1/3/2025"/>
    <s v="2:14:51"/>
    <s v="CUST6364"/>
    <s v="MER733"/>
    <s v="Wallet"/>
    <s v="Subscription"/>
    <n v="1350.42"/>
    <s v="CAD"/>
    <s v="Success"/>
    <x v="3"/>
    <n v="27.01"/>
    <n v="1323.41"/>
    <s v="USA"/>
  </r>
  <r>
    <s v="T0071"/>
    <s v="1/20/2025"/>
    <s v="11:23:13"/>
    <s v="CUST4437"/>
    <s v="MER526"/>
    <s v="Debit Card"/>
    <s v="Purchase"/>
    <n v="4682.4799999999996"/>
    <s v="CAD"/>
    <s v="Success"/>
    <x v="3"/>
    <n v="93.65"/>
    <n v="4588.83"/>
    <s v="UK"/>
  </r>
  <r>
    <s v="T0072"/>
    <s v="1/20/2025"/>
    <s v="11:49:21"/>
    <s v="CUST7592"/>
    <s v="MER395"/>
    <s v="Net Banking"/>
    <s v="Purchase"/>
    <n v="284.18"/>
    <s v="INR"/>
    <s v="Failed"/>
    <x v="3"/>
    <n v="0"/>
    <n v="0"/>
    <s v="Australia"/>
  </r>
  <r>
    <s v="T0073"/>
    <s v="1/5/2025"/>
    <s v="9:34:25"/>
    <s v="CUST1198"/>
    <s v="MER906"/>
    <s v="Wallet"/>
    <s v="Purchase"/>
    <n v="4143.62"/>
    <s v="GBP"/>
    <s v="Failed"/>
    <x v="2"/>
    <n v="0"/>
    <n v="0"/>
    <s v="India"/>
  </r>
  <r>
    <s v="T0074"/>
    <s v="1/20/2025"/>
    <s v="22:40:33"/>
    <s v="CUST4604"/>
    <s v="MER914"/>
    <s v="Credit Card"/>
    <s v="Refund"/>
    <n v="405.04"/>
    <s v="GBP"/>
    <s v="Failed"/>
    <x v="4"/>
    <n v="0"/>
    <n v="0"/>
    <s v="UK"/>
  </r>
  <r>
    <s v="T0075"/>
    <s v="1/8/2025"/>
    <s v="19:02:12"/>
    <s v="CUST3959"/>
    <s v="MER184"/>
    <s v="Credit Card"/>
    <s v="Subscription"/>
    <n v="226.51"/>
    <s v="INR"/>
    <s v="Success"/>
    <x v="3"/>
    <n v="4.53"/>
    <n v="221.98"/>
    <s v="India"/>
  </r>
  <r>
    <s v="T0076"/>
    <s v="1/11/2025"/>
    <s v="13:59:57"/>
    <s v="CUST1986"/>
    <s v="MER165"/>
    <s v="Net Banking"/>
    <s v="Purchase"/>
    <n v="1414.17"/>
    <s v="INR"/>
    <s v="Success"/>
    <x v="3"/>
    <n v="28.28"/>
    <n v="1385.89"/>
    <s v="Canada"/>
  </r>
  <r>
    <s v="T0077"/>
    <s v="1/11/2025"/>
    <s v="11:01:15"/>
    <s v="CUST1344"/>
    <s v="MER661"/>
    <s v="Wallet"/>
    <s v="Refund"/>
    <n v="4164.8"/>
    <s v="USD"/>
    <s v="Success"/>
    <x v="3"/>
    <n v="83.3"/>
    <n v="4081.5"/>
    <s v="Australia"/>
  </r>
  <r>
    <s v="T0078"/>
    <s v="1/10/2025"/>
    <s v="8:55:07"/>
    <s v="CUST4127"/>
    <s v="MER426"/>
    <s v="Wallet"/>
    <s v="Refund"/>
    <n v="923.44"/>
    <s v="USD"/>
    <s v="Failed"/>
    <x v="3"/>
    <n v="0"/>
    <n v="0"/>
    <s v="USA"/>
  </r>
  <r>
    <s v="T0079"/>
    <s v="1/16/2025"/>
    <s v="11:03:33"/>
    <s v="CUST3634"/>
    <s v="MER167"/>
    <s v="Debit Card"/>
    <s v="Refund"/>
    <n v="3585.36"/>
    <s v="USD"/>
    <s v="Failed"/>
    <x v="3"/>
    <n v="0"/>
    <n v="0"/>
    <s v="India"/>
  </r>
  <r>
    <s v="T0080"/>
    <s v="1/20/2025"/>
    <s v="19:00:28"/>
    <s v="CUST4051"/>
    <s v="MER731"/>
    <s v="UPI"/>
    <s v="Subscription"/>
    <n v="332.55"/>
    <s v="AUD"/>
    <s v="Failed"/>
    <x v="3"/>
    <n v="0"/>
    <n v="0"/>
    <s v="Australia"/>
  </r>
  <r>
    <s v="T0081"/>
    <s v="1/5/2025"/>
    <s v="13:51:03"/>
    <s v="CUST6551"/>
    <s v="MER395"/>
    <s v="Credit Card"/>
    <s v="Refund"/>
    <n v="4215.55"/>
    <s v="INR"/>
    <s v="Failed"/>
    <x v="4"/>
    <n v="0"/>
    <n v="0"/>
    <s v="USA"/>
  </r>
  <r>
    <s v="T0082"/>
    <s v="1/11/2025"/>
    <s v="13:43:31"/>
    <s v="CUST5590"/>
    <s v="MER312"/>
    <s v="Net Banking"/>
    <s v="Refund"/>
    <n v="3386.76"/>
    <s v="CAD"/>
    <s v="Failed"/>
    <x v="2"/>
    <n v="0"/>
    <n v="0"/>
    <s v="USA"/>
  </r>
  <r>
    <s v="T0083"/>
    <s v="1/6/2025"/>
    <s v="21:38:20"/>
    <s v="CUST8982"/>
    <s v="MER104"/>
    <s v="Credit Card"/>
    <s v="Refund"/>
    <n v="3307"/>
    <s v="USD"/>
    <s v="Failed"/>
    <x v="1"/>
    <n v="0"/>
    <n v="0"/>
    <s v="India"/>
  </r>
  <r>
    <s v="T0084"/>
    <s v="1/13/2025"/>
    <s v="7:42:05"/>
    <s v="CUST8445"/>
    <s v="MER698"/>
    <s v="Credit Card"/>
    <s v="Purchase"/>
    <n v="1946.68"/>
    <s v="USD"/>
    <s v="Success"/>
    <x v="3"/>
    <n v="38.93"/>
    <n v="1907.75"/>
    <s v="Australia"/>
  </r>
  <r>
    <s v="T0085"/>
    <s v="1/11/2025"/>
    <s v="6:08:01"/>
    <s v="CUST6819"/>
    <s v="MER860"/>
    <s v="UPI"/>
    <s v="Purchase"/>
    <n v="3141.59"/>
    <s v="AUD"/>
    <s v="Failed"/>
    <x v="4"/>
    <n v="0"/>
    <n v="0"/>
    <s v="Australia"/>
  </r>
  <r>
    <s v="T0086"/>
    <s v="1/14/2025"/>
    <s v="0:08:25"/>
    <s v="CUST5604"/>
    <s v="MER539"/>
    <s v="UPI"/>
    <s v="Purchase"/>
    <n v="1830.94"/>
    <s v="CAD"/>
    <s v="Success"/>
    <x v="3"/>
    <n v="36.619999999999997"/>
    <n v="1794.32"/>
    <s v="Australia"/>
  </r>
  <r>
    <s v="T0087"/>
    <s v="1/31/2025"/>
    <s v="14:01:58"/>
    <s v="CUST9246"/>
    <s v="MER336"/>
    <s v="UPI"/>
    <s v="Refund"/>
    <n v="4768.07"/>
    <s v="GBP"/>
    <s v="Success"/>
    <x v="3"/>
    <n v="95.36"/>
    <n v="4672.71"/>
    <s v="Australia"/>
  </r>
  <r>
    <s v="T0088"/>
    <s v="1/30/2025"/>
    <s v="4:04:43"/>
    <s v="CUST9828"/>
    <s v="MER370"/>
    <s v="Net Banking"/>
    <s v="Refund"/>
    <n v="3189.18"/>
    <s v="USD"/>
    <s v="Success"/>
    <x v="3"/>
    <n v="63.78"/>
    <n v="3125.4"/>
    <s v="USA"/>
  </r>
  <r>
    <s v="T0089"/>
    <s v="1/11/2025"/>
    <s v="13:37:42"/>
    <s v="CUST6277"/>
    <s v="MER293"/>
    <s v="Wallet"/>
    <s v="Refund"/>
    <n v="2314.25"/>
    <s v="CAD"/>
    <s v="Failed"/>
    <x v="0"/>
    <n v="0"/>
    <n v="0"/>
    <s v="Australia"/>
  </r>
  <r>
    <s v="T0090"/>
    <s v="1/3/2025"/>
    <s v="18:33:46"/>
    <s v="CUST7059"/>
    <s v="MER934"/>
    <s v="Wallet"/>
    <s v="Subscription"/>
    <n v="1940.52"/>
    <s v="GBP"/>
    <s v="Failed"/>
    <x v="0"/>
    <n v="0"/>
    <n v="0"/>
    <s v="India"/>
  </r>
  <r>
    <s v="T0091"/>
    <s v="1/7/2025"/>
    <s v="21:38:43"/>
    <s v="CUST7183"/>
    <s v="MER205"/>
    <s v="Net Banking"/>
    <s v="Refund"/>
    <n v="2454.9699999999998"/>
    <s v="CAD"/>
    <s v="Failed"/>
    <x v="2"/>
    <n v="0"/>
    <n v="0"/>
    <s v="USA"/>
  </r>
  <r>
    <s v="T0092"/>
    <s v="1/25/2025"/>
    <s v="23:01:47"/>
    <s v="CUST4543"/>
    <s v="MER960"/>
    <s v="UPI"/>
    <s v="Subscription"/>
    <n v="4548.04"/>
    <s v="GBP"/>
    <s v="Success"/>
    <x v="3"/>
    <n v="90.96"/>
    <n v="4457.08"/>
    <s v="UK"/>
  </r>
  <r>
    <s v="T0093"/>
    <s v="1/7/2025"/>
    <s v="2:31:43"/>
    <s v="CUST1682"/>
    <s v="MER638"/>
    <s v="Credit Card"/>
    <s v="Purchase"/>
    <n v="4750.95"/>
    <s v="CAD"/>
    <s v="Success"/>
    <x v="3"/>
    <n v="95.02"/>
    <n v="4655.93"/>
    <s v="India"/>
  </r>
  <r>
    <s v="T0094"/>
    <s v="1/9/2025"/>
    <s v="8:29:35"/>
    <s v="CUST1477"/>
    <s v="MER652"/>
    <s v="Credit Card"/>
    <s v="Refund"/>
    <n v="839.69"/>
    <s v="AUD"/>
    <s v="Failed"/>
    <x v="4"/>
    <n v="0"/>
    <n v="0"/>
    <s v="UK"/>
  </r>
  <r>
    <s v="T0095"/>
    <s v="1/28/2025"/>
    <s v="8:26:57"/>
    <s v="CUST3544"/>
    <s v="MER136"/>
    <s v="Credit Card"/>
    <s v="Refund"/>
    <n v="4733.71"/>
    <s v="INR"/>
    <s v="Success"/>
    <x v="3"/>
    <n v="94.67"/>
    <n v="4639.04"/>
    <s v="Australia"/>
  </r>
  <r>
    <s v="T0096"/>
    <s v="1/23/2025"/>
    <s v="11:51:20"/>
    <s v="CUST3952"/>
    <s v="MER160"/>
    <s v="Wallet"/>
    <s v="Purchase"/>
    <n v="983.95"/>
    <s v="CAD"/>
    <s v="Failed"/>
    <x v="3"/>
    <n v="0"/>
    <n v="0"/>
    <s v="USA"/>
  </r>
  <r>
    <s v="T0097"/>
    <s v="1/12/2025"/>
    <s v="8:30:33"/>
    <s v="CUST4239"/>
    <s v="MER686"/>
    <s v="UPI"/>
    <s v="Purchase"/>
    <n v="2306.11"/>
    <s v="INR"/>
    <s v="Failed"/>
    <x v="0"/>
    <n v="0"/>
    <n v="0"/>
    <s v="Australia"/>
  </r>
  <r>
    <s v="T0098"/>
    <s v="1/3/2025"/>
    <s v="0:15:21"/>
    <s v="CUST4006"/>
    <s v="MER365"/>
    <s v="Debit Card"/>
    <s v="Refund"/>
    <n v="3902.86"/>
    <s v="INR"/>
    <s v="Failed"/>
    <x v="2"/>
    <n v="0"/>
    <n v="0"/>
    <s v="Canada"/>
  </r>
  <r>
    <s v="T0099"/>
    <s v="1/19/2025"/>
    <s v="0:31:49"/>
    <s v="CUST5449"/>
    <s v="MER477"/>
    <s v="Debit Card"/>
    <s v="Purchase"/>
    <n v="2455.27"/>
    <s v="CAD"/>
    <s v="Failed"/>
    <x v="4"/>
    <n v="0"/>
    <n v="0"/>
    <s v="Canada"/>
  </r>
  <r>
    <s v="T0100"/>
    <s v="1/23/2025"/>
    <s v="8:54:38"/>
    <s v="CUST4036"/>
    <s v="MER207"/>
    <s v="Net Banking"/>
    <s v="Purchase"/>
    <n v="4721.8599999999997"/>
    <s v="AUD"/>
    <s v="Success"/>
    <x v="3"/>
    <n v="94.44"/>
    <n v="4627.42"/>
    <s v="Indi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x v="0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x v="1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x v="2"/>
    <s v="CUST3480"/>
    <s v="MER797"/>
    <s v="UPI"/>
    <s v="Subscription"/>
    <n v="4534.18"/>
    <s v="USD"/>
    <s v="Failed"/>
    <s v="Card Expired"/>
    <n v="0"/>
    <n v="0"/>
    <x v="1"/>
  </r>
  <r>
    <s v="T0004"/>
    <s v="1/3/2025"/>
    <x v="3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x v="4"/>
    <s v="CUST7766"/>
    <s v="MER620"/>
    <s v="Net Banking"/>
    <s v="Purchase"/>
    <n v="3690.48"/>
    <s v="USD"/>
    <s v="Failed"/>
    <s v="Completed"/>
    <n v="0"/>
    <n v="0"/>
    <x v="2"/>
  </r>
  <r>
    <s v="T0006"/>
    <s v="1/29/2025"/>
    <x v="5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x v="6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x v="7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x v="8"/>
    <s v="CUST2524"/>
    <s v="MER540"/>
    <s v="Wallet"/>
    <s v="Purchase"/>
    <n v="4603.96"/>
    <s v="INR"/>
    <s v="Failed"/>
    <s v="Completed"/>
    <n v="0"/>
    <n v="0"/>
    <x v="1"/>
  </r>
  <r>
    <s v="T0010"/>
    <s v="1/21/2025"/>
    <x v="9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x v="10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x v="11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x v="12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x v="13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x v="14"/>
    <s v="CUST5095"/>
    <s v="MER282"/>
    <s v="Wallet"/>
    <s v="Refund"/>
    <n v="3282.68"/>
    <s v="USD"/>
    <s v="Failed"/>
    <s v="Invalid PIN"/>
    <n v="0"/>
    <n v="0"/>
    <x v="1"/>
  </r>
  <r>
    <s v="T0016"/>
    <s v="1/22/2025"/>
    <x v="15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x v="16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x v="17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x v="18"/>
    <s v="CUST8821"/>
    <s v="MER241"/>
    <s v="Wallet"/>
    <s v="Subscription"/>
    <n v="3386.06"/>
    <s v="GBP"/>
    <s v="Failed"/>
    <s v="Completed"/>
    <n v="0"/>
    <n v="0"/>
    <x v="3"/>
  </r>
  <r>
    <s v="T0020"/>
    <s v="1/1/2025"/>
    <x v="19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x v="20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x v="21"/>
    <s v="CUST6471"/>
    <s v="MER317"/>
    <s v="Wallet"/>
    <s v="Refund"/>
    <n v="4058.95"/>
    <s v="AUD"/>
    <s v="Failed"/>
    <s v="Invalid PIN"/>
    <n v="0"/>
    <n v="0"/>
    <x v="0"/>
  </r>
  <r>
    <s v="T0023"/>
    <s v="1/14/2025"/>
    <x v="22"/>
    <s v="CUST7870"/>
    <s v="MER739"/>
    <s v="UPI"/>
    <s v="Subscription"/>
    <n v="365.03"/>
    <s v="AUD"/>
    <s v="Failed"/>
    <s v="Card Expired"/>
    <n v="0"/>
    <n v="0"/>
    <x v="0"/>
  </r>
  <r>
    <s v="T0024"/>
    <s v="1/2/2025"/>
    <x v="23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x v="2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x v="25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x v="26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x v="27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x v="28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x v="29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x v="30"/>
    <s v="CUST9989"/>
    <s v="MER833"/>
    <s v="UPI"/>
    <s v="Refund"/>
    <n v="958.62"/>
    <s v="USD"/>
    <s v="Failed"/>
    <s v="Insufficient Funds"/>
    <n v="0"/>
    <n v="0"/>
    <x v="0"/>
  </r>
  <r>
    <s v="T0032"/>
    <s v="1/30/2025"/>
    <x v="3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x v="32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x v="33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x v="34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x v="35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x v="3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x v="37"/>
    <s v="CUST7745"/>
    <s v="MER165"/>
    <s v="Debit Card"/>
    <s v="Refund"/>
    <n v="3755.03"/>
    <s v="CAD"/>
    <s v="Failed"/>
    <s v="Completed"/>
    <n v="0"/>
    <n v="0"/>
    <x v="1"/>
  </r>
  <r>
    <s v="T0039"/>
    <s v="1/7/2025"/>
    <x v="38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x v="39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x v="40"/>
    <s v="CUST4921"/>
    <s v="MER775"/>
    <s v="UPI"/>
    <s v="Refund"/>
    <n v="588.4"/>
    <s v="GBP"/>
    <s v="Success"/>
    <s v="Completed"/>
    <n v="11.77"/>
    <n v="576.63"/>
    <x v="1"/>
  </r>
  <r>
    <s v="T0042"/>
    <s v="1/17/2025"/>
    <x v="41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x v="42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x v="43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x v="44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x v="45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x v="46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x v="47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x v="48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x v="49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x v="50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x v="51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x v="52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x v="53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x v="54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x v="55"/>
    <s v="CUST1610"/>
    <s v="MER263"/>
    <s v="Wallet"/>
    <s v="Purchase"/>
    <n v="1428.65"/>
    <s v="INR"/>
    <s v="Failed"/>
    <s v="Completed"/>
    <n v="0"/>
    <n v="0"/>
    <x v="0"/>
  </r>
  <r>
    <s v="T0057"/>
    <s v="1/7/2025"/>
    <x v="56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x v="5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x v="58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x v="59"/>
    <s v="CUST7032"/>
    <s v="MER702"/>
    <s v="UPI"/>
    <s v="Subscription"/>
    <n v="1669.54"/>
    <s v="CAD"/>
    <s v="Failed"/>
    <s v="Card Expired"/>
    <n v="0"/>
    <n v="0"/>
    <x v="4"/>
  </r>
  <r>
    <s v="T0061"/>
    <s v="1/2/2025"/>
    <x v="60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x v="61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x v="62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x v="63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x v="64"/>
    <s v="CUST5015"/>
    <s v="MER429"/>
    <s v="Credit Card"/>
    <s v="Purchase"/>
    <n v="3005.94"/>
    <s v="GBP"/>
    <s v="Failed"/>
    <s v="Completed"/>
    <n v="0"/>
    <n v="0"/>
    <x v="4"/>
  </r>
  <r>
    <s v="T0066"/>
    <s v="1/3/2025"/>
    <x v="65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x v="66"/>
    <s v="CUST4028"/>
    <s v="MER143"/>
    <s v="Wallet"/>
    <s v="Purchase"/>
    <n v="2905.35"/>
    <s v="USD"/>
    <s v="Failed"/>
    <s v="Card Expired"/>
    <n v="0"/>
    <n v="0"/>
    <x v="2"/>
  </r>
  <r>
    <s v="T0068"/>
    <s v="1/26/2025"/>
    <x v="67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x v="68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x v="69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x v="70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x v="71"/>
    <s v="CUST7592"/>
    <s v="MER395"/>
    <s v="Net Banking"/>
    <s v="Purchase"/>
    <n v="284.18"/>
    <s v="INR"/>
    <s v="Failed"/>
    <s v="Completed"/>
    <n v="0"/>
    <n v="0"/>
    <x v="1"/>
  </r>
  <r>
    <s v="T0073"/>
    <s v="1/5/2025"/>
    <x v="72"/>
    <s v="CUST1198"/>
    <s v="MER906"/>
    <s v="Wallet"/>
    <s v="Purchase"/>
    <n v="4143.62"/>
    <s v="GBP"/>
    <s v="Failed"/>
    <s v="Card Expired"/>
    <n v="0"/>
    <n v="0"/>
    <x v="4"/>
  </r>
  <r>
    <s v="T0074"/>
    <s v="1/20/2025"/>
    <x v="73"/>
    <s v="CUST4604"/>
    <s v="MER914"/>
    <s v="Credit Card"/>
    <s v="Refund"/>
    <n v="405.04"/>
    <s v="GBP"/>
    <s v="Failed"/>
    <s v="Invalid PIN"/>
    <n v="0"/>
    <n v="0"/>
    <x v="3"/>
  </r>
  <r>
    <s v="T0075"/>
    <s v="1/8/2025"/>
    <x v="74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x v="75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x v="76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x v="77"/>
    <s v="CUST4127"/>
    <s v="MER426"/>
    <s v="Wallet"/>
    <s v="Refund"/>
    <n v="923.44"/>
    <s v="USD"/>
    <s v="Failed"/>
    <s v="Completed"/>
    <n v="0"/>
    <n v="0"/>
    <x v="0"/>
  </r>
  <r>
    <s v="T0079"/>
    <s v="1/16/2025"/>
    <x v="78"/>
    <s v="CUST3634"/>
    <s v="MER167"/>
    <s v="Debit Card"/>
    <s v="Refund"/>
    <n v="3585.36"/>
    <s v="USD"/>
    <s v="Failed"/>
    <s v="Completed"/>
    <n v="0"/>
    <n v="0"/>
    <x v="4"/>
  </r>
  <r>
    <s v="T0080"/>
    <s v="1/20/2025"/>
    <x v="79"/>
    <s v="CUST4051"/>
    <s v="MER731"/>
    <s v="UPI"/>
    <s v="Subscription"/>
    <n v="332.55"/>
    <s v="AUD"/>
    <s v="Failed"/>
    <s v="Completed"/>
    <n v="0"/>
    <n v="0"/>
    <x v="1"/>
  </r>
  <r>
    <s v="T0081"/>
    <s v="1/5/2025"/>
    <x v="80"/>
    <s v="CUST6551"/>
    <s v="MER395"/>
    <s v="Credit Card"/>
    <s v="Refund"/>
    <n v="4215.55"/>
    <s v="INR"/>
    <s v="Failed"/>
    <s v="Invalid PIN"/>
    <n v="0"/>
    <n v="0"/>
    <x v="0"/>
  </r>
  <r>
    <s v="T0082"/>
    <s v="1/11/2025"/>
    <x v="8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x v="82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x v="83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x v="84"/>
    <s v="CUST6819"/>
    <s v="MER860"/>
    <s v="UPI"/>
    <s v="Purchase"/>
    <n v="3141.59"/>
    <s v="AUD"/>
    <s v="Failed"/>
    <s v="Invalid PIN"/>
    <n v="0"/>
    <n v="0"/>
    <x v="1"/>
  </r>
  <r>
    <s v="T0086"/>
    <s v="1/14/2025"/>
    <x v="8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x v="86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x v="87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x v="88"/>
    <s v="CUST6277"/>
    <s v="MER293"/>
    <s v="Wallet"/>
    <s v="Refund"/>
    <n v="2314.25"/>
    <s v="CAD"/>
    <s v="Failed"/>
    <s v="Network Error"/>
    <n v="0"/>
    <n v="0"/>
    <x v="1"/>
  </r>
  <r>
    <s v="T0090"/>
    <s v="1/3/2025"/>
    <x v="89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x v="90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x v="91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x v="92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x v="93"/>
    <s v="CUST1477"/>
    <s v="MER652"/>
    <s v="Credit Card"/>
    <s v="Refund"/>
    <n v="839.69"/>
    <s v="AUD"/>
    <s v="Failed"/>
    <s v="Invalid PIN"/>
    <n v="0"/>
    <n v="0"/>
    <x v="3"/>
  </r>
  <r>
    <s v="T0095"/>
    <s v="1/28/2025"/>
    <x v="94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x v="95"/>
    <s v="CUST3952"/>
    <s v="MER160"/>
    <s v="Wallet"/>
    <s v="Purchase"/>
    <n v="983.95"/>
    <s v="CAD"/>
    <s v="Failed"/>
    <s v="Completed"/>
    <n v="0"/>
    <n v="0"/>
    <x v="0"/>
  </r>
  <r>
    <s v="T0097"/>
    <s v="1/12/2025"/>
    <x v="96"/>
    <s v="CUST4239"/>
    <s v="MER686"/>
    <s v="UPI"/>
    <s v="Purchase"/>
    <n v="2306.11"/>
    <s v="INR"/>
    <s v="Failed"/>
    <s v="Network Error"/>
    <n v="0"/>
    <n v="0"/>
    <x v="1"/>
  </r>
  <r>
    <s v="T0098"/>
    <s v="1/3/2025"/>
    <x v="97"/>
    <s v="CUST4006"/>
    <s v="MER365"/>
    <s v="Debit Card"/>
    <s v="Refund"/>
    <n v="3902.86"/>
    <s v="INR"/>
    <s v="Failed"/>
    <s v="Card Expired"/>
    <n v="0"/>
    <n v="0"/>
    <x v="2"/>
  </r>
  <r>
    <s v="T0099"/>
    <s v="1/19/2025"/>
    <x v="98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x v="99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1/18/2025"/>
    <s v="0:53:56"/>
    <s v="CUST7804"/>
    <s v="MER706"/>
    <x v="0"/>
    <s v="Subscription"/>
    <n v="1266.76"/>
    <s v="INR"/>
    <s v="Failed"/>
    <s v="Network Error"/>
    <n v="0"/>
    <n v="0"/>
    <s v="USA"/>
  </r>
  <r>
    <x v="1"/>
    <s v="1/27/2025"/>
    <s v="15:15:08"/>
    <s v="CUST6500"/>
    <s v="MER882"/>
    <x v="0"/>
    <s v="Refund"/>
    <n v="3433.6"/>
    <s v="USD"/>
    <s v="Failed"/>
    <s v="Insufficient Funds"/>
    <n v="0"/>
    <n v="0"/>
    <s v="USA"/>
  </r>
  <r>
    <x v="2"/>
    <s v="1/14/2025"/>
    <s v="20:31:23"/>
    <s v="CUST3480"/>
    <s v="MER797"/>
    <x v="1"/>
    <s v="Subscription"/>
    <n v="4534.18"/>
    <s v="USD"/>
    <s v="Failed"/>
    <s v="Card Expired"/>
    <n v="0"/>
    <n v="0"/>
    <s v="Australia"/>
  </r>
  <r>
    <x v="3"/>
    <s v="1/3/2025"/>
    <s v="18:01:55"/>
    <s v="CUST3978"/>
    <s v="MER166"/>
    <x v="2"/>
    <s v="Purchase"/>
    <n v="2978.47"/>
    <s v="USD"/>
    <s v="Success"/>
    <s v="Completed"/>
    <n v="59.57"/>
    <n v="2918.9"/>
    <s v="Canada"/>
  </r>
  <r>
    <x v="4"/>
    <s v="1/2/2025"/>
    <s v="8:46:30"/>
    <s v="CUST7766"/>
    <s v="MER620"/>
    <x v="3"/>
    <s v="Purchase"/>
    <n v="3690.48"/>
    <s v="USD"/>
    <s v="Failed"/>
    <s v="Completed"/>
    <n v="0"/>
    <n v="0"/>
    <s v="Canada"/>
  </r>
  <r>
    <x v="5"/>
    <s v="1/29/2025"/>
    <s v="11:33:00"/>
    <s v="CUST1423"/>
    <s v="MER587"/>
    <x v="2"/>
    <s v="Purchase"/>
    <n v="1119.6300000000001"/>
    <s v="INR"/>
    <s v="Success"/>
    <s v="Completed"/>
    <n v="22.39"/>
    <n v="1097.24"/>
    <s v="UK"/>
  </r>
  <r>
    <x v="6"/>
    <s v="1/27/2025"/>
    <s v="18:26:29"/>
    <s v="CUST5609"/>
    <s v="MER616"/>
    <x v="2"/>
    <s v="Refund"/>
    <n v="4818.3999999999996"/>
    <s v="INR"/>
    <s v="Success"/>
    <s v="Completed"/>
    <n v="96.37"/>
    <n v="4722.03"/>
    <s v="USA"/>
  </r>
  <r>
    <x v="7"/>
    <s v="1/19/2025"/>
    <s v="8:48:50"/>
    <s v="CUST6471"/>
    <s v="MER159"/>
    <x v="0"/>
    <s v="Subscription"/>
    <n v="1965.15"/>
    <s v="INR"/>
    <s v="Failed"/>
    <s v="Insufficient Funds"/>
    <n v="0"/>
    <n v="0"/>
    <s v="Canada"/>
  </r>
  <r>
    <x v="8"/>
    <s v="1/2/2025"/>
    <s v="15:22:59"/>
    <s v="CUST2524"/>
    <s v="MER540"/>
    <x v="2"/>
    <s v="Purchase"/>
    <n v="4603.96"/>
    <s v="INR"/>
    <s v="Failed"/>
    <s v="Completed"/>
    <n v="0"/>
    <n v="0"/>
    <s v="Australia"/>
  </r>
  <r>
    <x v="9"/>
    <s v="1/21/2025"/>
    <s v="2:03:02"/>
    <s v="CUST6594"/>
    <s v="MER603"/>
    <x v="3"/>
    <s v="Purchase"/>
    <n v="2990.19"/>
    <s v="GBP"/>
    <s v="Failed"/>
    <s v="Network Error"/>
    <n v="0"/>
    <n v="0"/>
    <s v="Canada"/>
  </r>
  <r>
    <x v="10"/>
    <s v="1/12/2025"/>
    <s v="7:53:35"/>
    <s v="CUST7865"/>
    <s v="MER707"/>
    <x v="3"/>
    <s v="Subscription"/>
    <n v="2396.3200000000002"/>
    <s v="USD"/>
    <s v="Success"/>
    <s v="Completed"/>
    <n v="47.93"/>
    <n v="2348.39"/>
    <s v="Canada"/>
  </r>
  <r>
    <x v="11"/>
    <s v="1/11/2025"/>
    <s v="8:57:22"/>
    <s v="CUST6188"/>
    <s v="MER561"/>
    <x v="4"/>
    <s v="Purchase"/>
    <n v="131.27000000000001"/>
    <s v="USD"/>
    <s v="Success"/>
    <s v="Completed"/>
    <n v="2.63"/>
    <n v="128.63999999999999"/>
    <s v="Canada"/>
  </r>
  <r>
    <x v="12"/>
    <s v="1/8/2025"/>
    <s v="0:32:35"/>
    <s v="CUST8175"/>
    <s v="MER359"/>
    <x v="2"/>
    <s v="Subscription"/>
    <n v="4861.8"/>
    <s v="AUD"/>
    <s v="Failed"/>
    <s v="Card Expired"/>
    <n v="0"/>
    <n v="0"/>
    <s v="India"/>
  </r>
  <r>
    <x v="13"/>
    <s v="1/27/2025"/>
    <s v="3:26:44"/>
    <s v="CUST6623"/>
    <s v="MER551"/>
    <x v="4"/>
    <s v="Subscription"/>
    <n v="4513.13"/>
    <s v="CAD"/>
    <s v="Failed"/>
    <s v="Insufficient Funds"/>
    <n v="0"/>
    <n v="0"/>
    <s v="USA"/>
  </r>
  <r>
    <x v="14"/>
    <s v="1/16/2025"/>
    <s v="4:05:55"/>
    <s v="CUST5095"/>
    <s v="MER282"/>
    <x v="2"/>
    <s v="Refund"/>
    <n v="3282.68"/>
    <s v="USD"/>
    <s v="Failed"/>
    <s v="Invalid PIN"/>
    <n v="0"/>
    <n v="0"/>
    <s v="Australia"/>
  </r>
  <r>
    <x v="15"/>
    <s v="1/22/2025"/>
    <s v="4:41:43"/>
    <s v="CUST4684"/>
    <s v="MER806"/>
    <x v="4"/>
    <s v="Refund"/>
    <n v="1727.92"/>
    <s v="CAD"/>
    <s v="Success"/>
    <s v="Completed"/>
    <n v="34.56"/>
    <n v="1693.36"/>
    <s v="Canada"/>
  </r>
  <r>
    <x v="16"/>
    <s v="1/5/2025"/>
    <s v="5:02:02"/>
    <s v="CUST8821"/>
    <s v="MER152"/>
    <x v="2"/>
    <s v="Subscription"/>
    <n v="3887.27"/>
    <s v="AUD"/>
    <s v="Success"/>
    <s v="Completed"/>
    <n v="77.75"/>
    <n v="3809.52"/>
    <s v="Canada"/>
  </r>
  <r>
    <x v="17"/>
    <s v="1/2/2025"/>
    <s v="7:45:59"/>
    <s v="CUST5935"/>
    <s v="MER434"/>
    <x v="2"/>
    <s v="Subscription"/>
    <n v="1856.42"/>
    <s v="CAD"/>
    <s v="Failed"/>
    <s v="Insufficient Funds"/>
    <n v="0"/>
    <n v="0"/>
    <s v="Canada"/>
  </r>
  <r>
    <x v="18"/>
    <s v="1/16/2025"/>
    <s v="12:19:52"/>
    <s v="CUST8821"/>
    <s v="MER241"/>
    <x v="2"/>
    <s v="Subscription"/>
    <n v="3386.06"/>
    <s v="GBP"/>
    <s v="Failed"/>
    <s v="Completed"/>
    <n v="0"/>
    <n v="0"/>
    <s v="UK"/>
  </r>
  <r>
    <x v="19"/>
    <s v="1/1/2025"/>
    <s v="3:34:34"/>
    <s v="CUST3124"/>
    <s v="MER543"/>
    <x v="1"/>
    <s v="Purchase"/>
    <n v="3763.53"/>
    <s v="INR"/>
    <s v="Success"/>
    <s v="Completed"/>
    <n v="75.27"/>
    <n v="3688.26"/>
    <s v="Canada"/>
  </r>
  <r>
    <x v="20"/>
    <s v="1/21/2025"/>
    <s v="17:04:39"/>
    <s v="CUST3242"/>
    <s v="MER429"/>
    <x v="4"/>
    <s v="Purchase"/>
    <n v="2169.5500000000002"/>
    <s v="GBP"/>
    <s v="Failed"/>
    <s v="Insufficient Funds"/>
    <n v="0"/>
    <n v="0"/>
    <s v="USA"/>
  </r>
  <r>
    <x v="21"/>
    <s v="1/6/2025"/>
    <s v="19:16:01"/>
    <s v="CUST6471"/>
    <s v="MER317"/>
    <x v="2"/>
    <s v="Refund"/>
    <n v="4058.95"/>
    <s v="AUD"/>
    <s v="Failed"/>
    <s v="Invalid PIN"/>
    <n v="0"/>
    <n v="0"/>
    <s v="USA"/>
  </r>
  <r>
    <x v="22"/>
    <s v="1/14/2025"/>
    <s v="6:31:39"/>
    <s v="CUST7870"/>
    <s v="MER739"/>
    <x v="1"/>
    <s v="Subscription"/>
    <n v="365.03"/>
    <s v="AUD"/>
    <s v="Failed"/>
    <s v="Card Expired"/>
    <n v="0"/>
    <n v="0"/>
    <s v="USA"/>
  </r>
  <r>
    <x v="23"/>
    <s v="1/2/2025"/>
    <s v="1:29:05"/>
    <s v="CUST8329"/>
    <s v="MER153"/>
    <x v="1"/>
    <s v="Purchase"/>
    <n v="4534.22"/>
    <s v="AUD"/>
    <s v="Success"/>
    <s v="Completed"/>
    <n v="90.68"/>
    <n v="4443.54"/>
    <s v="Australia"/>
  </r>
  <r>
    <x v="24"/>
    <s v="1/16/2025"/>
    <s v="19:47:14"/>
    <s v="CUST5541"/>
    <s v="MER684"/>
    <x v="4"/>
    <s v="Refund"/>
    <n v="191.69"/>
    <s v="CAD"/>
    <s v="Success"/>
    <s v="Completed"/>
    <n v="3.83"/>
    <n v="187.86"/>
    <s v="USA"/>
  </r>
  <r>
    <x v="25"/>
    <s v="1/24/2025"/>
    <s v="8:15:58"/>
    <s v="CUST9555"/>
    <s v="MER941"/>
    <x v="4"/>
    <s v="Purchase"/>
    <n v="3170.77"/>
    <s v="GBP"/>
    <s v="Success"/>
    <s v="Completed"/>
    <n v="63.42"/>
    <n v="3107.35"/>
    <s v="USA"/>
  </r>
  <r>
    <x v="26"/>
    <s v="1/2/2025"/>
    <s v="16:58:41"/>
    <s v="CUST3259"/>
    <s v="MER229"/>
    <x v="4"/>
    <s v="Refund"/>
    <n v="1501.47"/>
    <s v="USD"/>
    <s v="Success"/>
    <s v="Completed"/>
    <n v="30.03"/>
    <n v="1471.44"/>
    <s v="India"/>
  </r>
  <r>
    <x v="27"/>
    <s v="1/18/2025"/>
    <s v="6:57:25"/>
    <s v="CUST9501"/>
    <s v="MER121"/>
    <x v="3"/>
    <s v="Refund"/>
    <n v="228.92"/>
    <s v="GBP"/>
    <s v="Success"/>
    <s v="Completed"/>
    <n v="4.58"/>
    <n v="224.34"/>
    <s v="Canada"/>
  </r>
  <r>
    <x v="28"/>
    <s v="1/11/2025"/>
    <s v="13:12:35"/>
    <s v="CUST5653"/>
    <s v="MER205"/>
    <x v="2"/>
    <s v="Subscription"/>
    <n v="2201.7199999999998"/>
    <s v="USD"/>
    <s v="Success"/>
    <s v="Completed"/>
    <n v="44.03"/>
    <n v="2157.69"/>
    <s v="Canada"/>
  </r>
  <r>
    <x v="29"/>
    <s v="1/16/2025"/>
    <s v="8:18:31"/>
    <s v="CUST2412"/>
    <s v="MER689"/>
    <x v="2"/>
    <s v="Refund"/>
    <n v="4229.42"/>
    <s v="CAD"/>
    <s v="Success"/>
    <s v="Completed"/>
    <n v="84.59"/>
    <n v="4144.83"/>
    <s v="Australia"/>
  </r>
  <r>
    <x v="30"/>
    <s v="1/8/2025"/>
    <s v="17:51:33"/>
    <s v="CUST9989"/>
    <s v="MER833"/>
    <x v="1"/>
    <s v="Refund"/>
    <n v="958.62"/>
    <s v="USD"/>
    <s v="Failed"/>
    <s v="Insufficient Funds"/>
    <n v="0"/>
    <n v="0"/>
    <s v="USA"/>
  </r>
  <r>
    <x v="31"/>
    <s v="1/30/2025"/>
    <s v="13:59:11"/>
    <s v="CUST3812"/>
    <s v="MER639"/>
    <x v="2"/>
    <s v="Purchase"/>
    <n v="2568.09"/>
    <s v="CAD"/>
    <s v="Success"/>
    <s v="Completed"/>
    <n v="51.36"/>
    <n v="2516.73"/>
    <s v="USA"/>
  </r>
  <r>
    <x v="32"/>
    <s v="1/10/2025"/>
    <s v="15:01:00"/>
    <s v="CUST7383"/>
    <s v="MER806"/>
    <x v="3"/>
    <s v="Purchase"/>
    <n v="376.7"/>
    <s v="USD"/>
    <s v="Success"/>
    <s v="Completed"/>
    <n v="7.53"/>
    <n v="369.17"/>
    <s v="India"/>
  </r>
  <r>
    <x v="33"/>
    <s v="1/11/2025"/>
    <s v="13:04:56"/>
    <s v="CUST1647"/>
    <s v="MER195"/>
    <x v="2"/>
    <s v="Purchase"/>
    <n v="4845.1400000000003"/>
    <s v="INR"/>
    <s v="Success"/>
    <s v="Completed"/>
    <n v="96.9"/>
    <n v="4748.24"/>
    <s v="India"/>
  </r>
  <r>
    <x v="34"/>
    <s v="1/12/2025"/>
    <s v="4:56:48"/>
    <s v="CUST3077"/>
    <s v="MER846"/>
    <x v="2"/>
    <s v="Subscription"/>
    <n v="1440.19"/>
    <s v="INR"/>
    <s v="Failed"/>
    <s v="Insufficient Funds"/>
    <n v="0"/>
    <n v="0"/>
    <s v="Canada"/>
  </r>
  <r>
    <x v="35"/>
    <s v="1/1/2025"/>
    <s v="4:29:38"/>
    <s v="CUST4044"/>
    <s v="MER747"/>
    <x v="4"/>
    <s v="Purchase"/>
    <n v="4063.21"/>
    <s v="INR"/>
    <s v="Failed"/>
    <s v="Invalid PIN"/>
    <n v="0"/>
    <n v="0"/>
    <s v="Australia"/>
  </r>
  <r>
    <x v="36"/>
    <s v="1/2/2025"/>
    <s v="15:19:56"/>
    <s v="CUST1349"/>
    <s v="MER417"/>
    <x v="3"/>
    <s v="Subscription"/>
    <n v="853.37"/>
    <s v="USD"/>
    <s v="Success"/>
    <s v="Completed"/>
    <n v="17.07"/>
    <n v="836.3"/>
    <s v="UK"/>
  </r>
  <r>
    <x v="37"/>
    <s v="1/31/2025"/>
    <s v="22:43:57"/>
    <s v="CUST7745"/>
    <s v="MER165"/>
    <x v="0"/>
    <s v="Refund"/>
    <n v="3755.03"/>
    <s v="CAD"/>
    <s v="Failed"/>
    <s v="Completed"/>
    <n v="0"/>
    <n v="0"/>
    <s v="Australia"/>
  </r>
  <r>
    <x v="38"/>
    <s v="1/7/2025"/>
    <s v="17:03:44"/>
    <s v="CUST7687"/>
    <s v="MER726"/>
    <x v="0"/>
    <s v="Purchase"/>
    <n v="4059.05"/>
    <s v="INR"/>
    <s v="Failed"/>
    <s v="Card Expired"/>
    <n v="0"/>
    <n v="0"/>
    <s v="Australia"/>
  </r>
  <r>
    <x v="39"/>
    <s v="1/25/2025"/>
    <s v="7:05:57"/>
    <s v="CUST5141"/>
    <s v="MER607"/>
    <x v="0"/>
    <s v="Subscription"/>
    <n v="3023.24"/>
    <s v="INR"/>
    <s v="Failed"/>
    <s v="Completed"/>
    <n v="0"/>
    <n v="0"/>
    <s v="Australia"/>
  </r>
  <r>
    <x v="40"/>
    <s v="1/27/2025"/>
    <s v="10:44:16"/>
    <s v="CUST4921"/>
    <s v="MER775"/>
    <x v="1"/>
    <s v="Refund"/>
    <n v="588.4"/>
    <s v="GBP"/>
    <s v="Success"/>
    <s v="Completed"/>
    <n v="11.77"/>
    <n v="576.63"/>
    <s v="Australia"/>
  </r>
  <r>
    <x v="41"/>
    <s v="1/17/2025"/>
    <s v="19:56:26"/>
    <s v="CUST7841"/>
    <s v="MER976"/>
    <x v="0"/>
    <s v="Refund"/>
    <n v="157.19999999999999"/>
    <s v="CAD"/>
    <s v="Success"/>
    <s v="Completed"/>
    <n v="3.14"/>
    <n v="154.06"/>
    <s v="Australia"/>
  </r>
  <r>
    <x v="42"/>
    <s v="1/28/2025"/>
    <s v="4:41:08"/>
    <s v="CUST9848"/>
    <s v="MER360"/>
    <x v="2"/>
    <s v="Subscription"/>
    <n v="3207.77"/>
    <s v="CAD"/>
    <s v="Success"/>
    <s v="Completed"/>
    <n v="64.16"/>
    <n v="3143.61"/>
    <s v="USA"/>
  </r>
  <r>
    <x v="43"/>
    <s v="1/28/2025"/>
    <s v="11:00:40"/>
    <s v="CUST3778"/>
    <s v="MER208"/>
    <x v="4"/>
    <s v="Purchase"/>
    <n v="4810.12"/>
    <s v="CAD"/>
    <s v="Success"/>
    <s v="Completed"/>
    <n v="96.2"/>
    <n v="4713.92"/>
    <s v="UK"/>
  </r>
  <r>
    <x v="44"/>
    <s v="1/29/2025"/>
    <s v="7:01:13"/>
    <s v="CUST7622"/>
    <s v="MER467"/>
    <x v="2"/>
    <s v="Subscription"/>
    <n v="2592.4499999999998"/>
    <s v="GBP"/>
    <s v="Success"/>
    <s v="Completed"/>
    <n v="51.85"/>
    <n v="2540.6"/>
    <s v="Australia"/>
  </r>
  <r>
    <x v="45"/>
    <s v="1/14/2025"/>
    <s v="6:23:04"/>
    <s v="CUST4469"/>
    <s v="MER548"/>
    <x v="1"/>
    <s v="Subscription"/>
    <n v="1214.9100000000001"/>
    <s v="CAD"/>
    <s v="Success"/>
    <s v="Completed"/>
    <n v="24.3"/>
    <n v="1190.6099999999999"/>
    <s v="USA"/>
  </r>
  <r>
    <x v="46"/>
    <s v="1/20/2025"/>
    <s v="6:29:29"/>
    <s v="CUST8028"/>
    <s v="MER669"/>
    <x v="3"/>
    <s v="Purchase"/>
    <n v="1528.95"/>
    <s v="GBP"/>
    <s v="Success"/>
    <s v="Completed"/>
    <n v="30.58"/>
    <n v="1498.37"/>
    <s v="UK"/>
  </r>
  <r>
    <x v="47"/>
    <s v="1/27/2025"/>
    <s v="2:28:51"/>
    <s v="CUST5505"/>
    <s v="MER934"/>
    <x v="0"/>
    <s v="Refund"/>
    <n v="730.12"/>
    <s v="GBP"/>
    <s v="Success"/>
    <s v="Completed"/>
    <n v="14.6"/>
    <n v="715.52"/>
    <s v="India"/>
  </r>
  <r>
    <x v="48"/>
    <s v="1/15/2025"/>
    <s v="23:58:05"/>
    <s v="CUST9007"/>
    <s v="MER342"/>
    <x v="3"/>
    <s v="Refund"/>
    <n v="4650.09"/>
    <s v="AUD"/>
    <s v="Failed"/>
    <s v="Card Expired"/>
    <n v="0"/>
    <n v="0"/>
    <s v="India"/>
  </r>
  <r>
    <x v="49"/>
    <s v="1/14/2025"/>
    <s v="12:21:16"/>
    <s v="CUST4509"/>
    <s v="MER327"/>
    <x v="0"/>
    <s v="Refund"/>
    <n v="3209.93"/>
    <s v="INR"/>
    <s v="Failed"/>
    <s v="Insufficient Funds"/>
    <n v="0"/>
    <n v="0"/>
    <s v="Australia"/>
  </r>
  <r>
    <x v="50"/>
    <s v="1/5/2025"/>
    <s v="23:26:24"/>
    <s v="CUST1560"/>
    <s v="MER676"/>
    <x v="4"/>
    <s v="Refund"/>
    <n v="3849.15"/>
    <s v="GBP"/>
    <s v="Success"/>
    <s v="Completed"/>
    <n v="76.98"/>
    <n v="3772.17"/>
    <s v="USA"/>
  </r>
  <r>
    <x v="51"/>
    <s v="1/20/2025"/>
    <s v="15:59:13"/>
    <s v="CUST8415"/>
    <s v="MER769"/>
    <x v="4"/>
    <s v="Purchase"/>
    <n v="145.56"/>
    <s v="AUD"/>
    <s v="Success"/>
    <s v="Completed"/>
    <n v="2.91"/>
    <n v="142.65"/>
    <s v="USA"/>
  </r>
  <r>
    <x v="52"/>
    <s v="1/6/2025"/>
    <s v="23:58:11"/>
    <s v="CUST6061"/>
    <s v="MER949"/>
    <x v="2"/>
    <s v="Subscription"/>
    <n v="2645.24"/>
    <s v="INR"/>
    <s v="Failed"/>
    <s v="Card Expired"/>
    <n v="0"/>
    <n v="0"/>
    <s v="Australia"/>
  </r>
  <r>
    <x v="53"/>
    <s v="1/18/2025"/>
    <s v="15:14:00"/>
    <s v="CUST3027"/>
    <s v="MER341"/>
    <x v="4"/>
    <s v="Purchase"/>
    <n v="4790.95"/>
    <s v="GBP"/>
    <s v="Success"/>
    <s v="Completed"/>
    <n v="95.82"/>
    <n v="4695.13"/>
    <s v="Australia"/>
  </r>
  <r>
    <x v="54"/>
    <s v="1/19/2025"/>
    <s v="11:15:49"/>
    <s v="CUST3567"/>
    <s v="MER240"/>
    <x v="4"/>
    <s v="Purchase"/>
    <n v="297.3"/>
    <s v="CAD"/>
    <s v="Failed"/>
    <s v="Insufficient Funds"/>
    <n v="0"/>
    <n v="0"/>
    <s v="UK"/>
  </r>
  <r>
    <x v="55"/>
    <s v="1/15/2025"/>
    <s v="8:24:37"/>
    <s v="CUST1610"/>
    <s v="MER263"/>
    <x v="2"/>
    <s v="Purchase"/>
    <n v="1428.65"/>
    <s v="INR"/>
    <s v="Failed"/>
    <s v="Completed"/>
    <n v="0"/>
    <n v="0"/>
    <s v="USA"/>
  </r>
  <r>
    <x v="56"/>
    <s v="1/7/2025"/>
    <s v="21:44:12"/>
    <s v="CUST1159"/>
    <s v="MER366"/>
    <x v="2"/>
    <s v="Subscription"/>
    <n v="3719.31"/>
    <s v="USD"/>
    <s v="Failed"/>
    <s v="Insufficient Funds"/>
    <n v="0"/>
    <n v="0"/>
    <s v="India"/>
  </r>
  <r>
    <x v="57"/>
    <s v="1/16/2025"/>
    <s v="5:13:37"/>
    <s v="CUST5219"/>
    <s v="MER396"/>
    <x v="3"/>
    <s v="Purchase"/>
    <n v="3601.1"/>
    <s v="AUD"/>
    <s v="Success"/>
    <s v="Completed"/>
    <n v="72.02"/>
    <n v="3529.08"/>
    <s v="UK"/>
  </r>
  <r>
    <x v="58"/>
    <s v="1/29/2025"/>
    <s v="14:58:25"/>
    <s v="CUST6037"/>
    <s v="MER590"/>
    <x v="4"/>
    <s v="Refund"/>
    <n v="3281.14"/>
    <s v="GBP"/>
    <s v="Failed"/>
    <s v="Insufficient Funds"/>
    <n v="0"/>
    <n v="0"/>
    <s v="India"/>
  </r>
  <r>
    <x v="59"/>
    <s v="1/26/2025"/>
    <s v="9:16:53"/>
    <s v="CUST7032"/>
    <s v="MER702"/>
    <x v="1"/>
    <s v="Subscription"/>
    <n v="1669.54"/>
    <s v="CAD"/>
    <s v="Failed"/>
    <s v="Card Expired"/>
    <n v="0"/>
    <n v="0"/>
    <s v="India"/>
  </r>
  <r>
    <x v="60"/>
    <s v="1/2/2025"/>
    <s v="3:25:17"/>
    <s v="CUST3728"/>
    <s v="MER681"/>
    <x v="0"/>
    <s v="Refund"/>
    <n v="1160.6300000000001"/>
    <s v="CAD"/>
    <s v="Failed"/>
    <s v="Card Expired"/>
    <n v="0"/>
    <n v="0"/>
    <s v="Australia"/>
  </r>
  <r>
    <x v="61"/>
    <s v="1/28/2025"/>
    <s v="12:06:08"/>
    <s v="CUST8928"/>
    <s v="MER142"/>
    <x v="1"/>
    <s v="Refund"/>
    <n v="1120.8900000000001"/>
    <s v="GBP"/>
    <s v="Success"/>
    <s v="Completed"/>
    <n v="22.42"/>
    <n v="1098.47"/>
    <s v="Australia"/>
  </r>
  <r>
    <x v="62"/>
    <s v="1/12/2025"/>
    <s v="9:31:53"/>
    <s v="CUST1177"/>
    <s v="MER628"/>
    <x v="1"/>
    <s v="Subscription"/>
    <n v="1329.5"/>
    <s v="USD"/>
    <s v="Failed"/>
    <s v="Insufficient Funds"/>
    <n v="0"/>
    <n v="0"/>
    <s v="UK"/>
  </r>
  <r>
    <x v="63"/>
    <s v="1/30/2025"/>
    <s v="8:33:24"/>
    <s v="CUST1097"/>
    <s v="MER821"/>
    <x v="3"/>
    <s v="Refund"/>
    <n v="3216.19"/>
    <s v="INR"/>
    <s v="Success"/>
    <s v="Completed"/>
    <n v="64.319999999999993"/>
    <n v="3151.87"/>
    <s v="Australia"/>
  </r>
  <r>
    <x v="64"/>
    <s v="1/1/2025"/>
    <s v="2:12:45"/>
    <s v="CUST5015"/>
    <s v="MER429"/>
    <x v="4"/>
    <s v="Purchase"/>
    <n v="3005.94"/>
    <s v="GBP"/>
    <s v="Failed"/>
    <s v="Completed"/>
    <n v="0"/>
    <n v="0"/>
    <s v="India"/>
  </r>
  <r>
    <x v="65"/>
    <s v="1/3/2025"/>
    <s v="11:03:50"/>
    <s v="CUST9490"/>
    <s v="MER837"/>
    <x v="3"/>
    <s v="Purchase"/>
    <n v="3716.34"/>
    <s v="CAD"/>
    <s v="Success"/>
    <s v="Completed"/>
    <n v="74.33"/>
    <n v="3642.01"/>
    <s v="UK"/>
  </r>
  <r>
    <x v="66"/>
    <s v="1/14/2025"/>
    <s v="4:27:22"/>
    <s v="CUST4028"/>
    <s v="MER143"/>
    <x v="2"/>
    <s v="Purchase"/>
    <n v="2905.35"/>
    <s v="USD"/>
    <s v="Failed"/>
    <s v="Card Expired"/>
    <n v="0"/>
    <n v="0"/>
    <s v="Canada"/>
  </r>
  <r>
    <x v="67"/>
    <s v="1/26/2025"/>
    <s v="7:20:53"/>
    <s v="CUST3964"/>
    <s v="MER117"/>
    <x v="2"/>
    <s v="Subscription"/>
    <n v="2920.18"/>
    <s v="INR"/>
    <s v="Success"/>
    <s v="Completed"/>
    <n v="58.4"/>
    <n v="2861.78"/>
    <s v="USA"/>
  </r>
  <r>
    <x v="68"/>
    <s v="1/14/2025"/>
    <s v="0:29:49"/>
    <s v="CUST4674"/>
    <s v="MER839"/>
    <x v="1"/>
    <s v="Purchase"/>
    <n v="1150.1400000000001"/>
    <s v="GBP"/>
    <s v="Failed"/>
    <s v="Card Expired"/>
    <n v="0"/>
    <n v="0"/>
    <s v="India"/>
  </r>
  <r>
    <x v="69"/>
    <s v="1/3/2025"/>
    <s v="2:14:51"/>
    <s v="CUST6364"/>
    <s v="MER733"/>
    <x v="2"/>
    <s v="Subscription"/>
    <n v="1350.42"/>
    <s v="CAD"/>
    <s v="Success"/>
    <s v="Completed"/>
    <n v="27.01"/>
    <n v="1323.41"/>
    <s v="USA"/>
  </r>
  <r>
    <x v="70"/>
    <s v="1/20/2025"/>
    <s v="11:23:13"/>
    <s v="CUST4437"/>
    <s v="MER526"/>
    <x v="0"/>
    <s v="Purchase"/>
    <n v="4682.4799999999996"/>
    <s v="CAD"/>
    <s v="Success"/>
    <s v="Completed"/>
    <n v="93.65"/>
    <n v="4588.83"/>
    <s v="UK"/>
  </r>
  <r>
    <x v="71"/>
    <s v="1/20/2025"/>
    <s v="11:49:21"/>
    <s v="CUST7592"/>
    <s v="MER395"/>
    <x v="3"/>
    <s v="Purchase"/>
    <n v="284.18"/>
    <s v="INR"/>
    <s v="Failed"/>
    <s v="Completed"/>
    <n v="0"/>
    <n v="0"/>
    <s v="Australia"/>
  </r>
  <r>
    <x v="72"/>
    <s v="1/5/2025"/>
    <s v="9:34:25"/>
    <s v="CUST1198"/>
    <s v="MER906"/>
    <x v="2"/>
    <s v="Purchase"/>
    <n v="4143.62"/>
    <s v="GBP"/>
    <s v="Failed"/>
    <s v="Card Expired"/>
    <n v="0"/>
    <n v="0"/>
    <s v="India"/>
  </r>
  <r>
    <x v="73"/>
    <s v="1/20/2025"/>
    <s v="22:40:33"/>
    <s v="CUST4604"/>
    <s v="MER914"/>
    <x v="4"/>
    <s v="Refund"/>
    <n v="405.04"/>
    <s v="GBP"/>
    <s v="Failed"/>
    <s v="Invalid PIN"/>
    <n v="0"/>
    <n v="0"/>
    <s v="UK"/>
  </r>
  <r>
    <x v="74"/>
    <s v="1/8/2025"/>
    <s v="19:02:12"/>
    <s v="CUST3959"/>
    <s v="MER184"/>
    <x v="4"/>
    <s v="Subscription"/>
    <n v="226.51"/>
    <s v="INR"/>
    <s v="Success"/>
    <s v="Completed"/>
    <n v="4.53"/>
    <n v="221.98"/>
    <s v="India"/>
  </r>
  <r>
    <x v="75"/>
    <s v="1/11/2025"/>
    <s v="13:59:57"/>
    <s v="CUST1986"/>
    <s v="MER165"/>
    <x v="3"/>
    <s v="Purchase"/>
    <n v="1414.17"/>
    <s v="INR"/>
    <s v="Success"/>
    <s v="Completed"/>
    <n v="28.28"/>
    <n v="1385.89"/>
    <s v="Canada"/>
  </r>
  <r>
    <x v="76"/>
    <s v="1/11/2025"/>
    <s v="11:01:15"/>
    <s v="CUST1344"/>
    <s v="MER661"/>
    <x v="2"/>
    <s v="Refund"/>
    <n v="4164.8"/>
    <s v="USD"/>
    <s v="Success"/>
    <s v="Completed"/>
    <n v="83.3"/>
    <n v="4081.5"/>
    <s v="Australia"/>
  </r>
  <r>
    <x v="77"/>
    <s v="1/10/2025"/>
    <s v="8:55:07"/>
    <s v="CUST4127"/>
    <s v="MER426"/>
    <x v="2"/>
    <s v="Refund"/>
    <n v="923.44"/>
    <s v="USD"/>
    <s v="Failed"/>
    <s v="Completed"/>
    <n v="0"/>
    <n v="0"/>
    <s v="USA"/>
  </r>
  <r>
    <x v="78"/>
    <s v="1/16/2025"/>
    <s v="11:03:33"/>
    <s v="CUST3634"/>
    <s v="MER167"/>
    <x v="0"/>
    <s v="Refund"/>
    <n v="3585.36"/>
    <s v="USD"/>
    <s v="Failed"/>
    <s v="Completed"/>
    <n v="0"/>
    <n v="0"/>
    <s v="India"/>
  </r>
  <r>
    <x v="79"/>
    <s v="1/20/2025"/>
    <s v="19:00:28"/>
    <s v="CUST4051"/>
    <s v="MER731"/>
    <x v="1"/>
    <s v="Subscription"/>
    <n v="332.55"/>
    <s v="AUD"/>
    <s v="Failed"/>
    <s v="Completed"/>
    <n v="0"/>
    <n v="0"/>
    <s v="Australia"/>
  </r>
  <r>
    <x v="80"/>
    <s v="1/5/2025"/>
    <s v="13:51:03"/>
    <s v="CUST6551"/>
    <s v="MER395"/>
    <x v="4"/>
    <s v="Refund"/>
    <n v="4215.55"/>
    <s v="INR"/>
    <s v="Failed"/>
    <s v="Invalid PIN"/>
    <n v="0"/>
    <n v="0"/>
    <s v="USA"/>
  </r>
  <r>
    <x v="81"/>
    <s v="1/11/2025"/>
    <s v="13:43:31"/>
    <s v="CUST5590"/>
    <s v="MER312"/>
    <x v="3"/>
    <s v="Refund"/>
    <n v="3386.76"/>
    <s v="CAD"/>
    <s v="Failed"/>
    <s v="Card Expired"/>
    <n v="0"/>
    <n v="0"/>
    <s v="USA"/>
  </r>
  <r>
    <x v="82"/>
    <s v="1/6/2025"/>
    <s v="21:38:20"/>
    <s v="CUST8982"/>
    <s v="MER104"/>
    <x v="4"/>
    <s v="Refund"/>
    <n v="3307"/>
    <s v="USD"/>
    <s v="Failed"/>
    <s v="Insufficient Funds"/>
    <n v="0"/>
    <n v="0"/>
    <s v="India"/>
  </r>
  <r>
    <x v="83"/>
    <s v="1/13/2025"/>
    <s v="7:42:05"/>
    <s v="CUST8445"/>
    <s v="MER698"/>
    <x v="4"/>
    <s v="Purchase"/>
    <n v="1946.68"/>
    <s v="USD"/>
    <s v="Success"/>
    <s v="Completed"/>
    <n v="38.93"/>
    <n v="1907.75"/>
    <s v="Australia"/>
  </r>
  <r>
    <x v="84"/>
    <s v="1/11/2025"/>
    <s v="6:08:01"/>
    <s v="CUST6819"/>
    <s v="MER860"/>
    <x v="1"/>
    <s v="Purchase"/>
    <n v="3141.59"/>
    <s v="AUD"/>
    <s v="Failed"/>
    <s v="Invalid PIN"/>
    <n v="0"/>
    <n v="0"/>
    <s v="Australia"/>
  </r>
  <r>
    <x v="85"/>
    <s v="1/14/2025"/>
    <s v="0:08:25"/>
    <s v="CUST5604"/>
    <s v="MER539"/>
    <x v="1"/>
    <s v="Purchase"/>
    <n v="1830.94"/>
    <s v="CAD"/>
    <s v="Success"/>
    <s v="Completed"/>
    <n v="36.619999999999997"/>
    <n v="1794.32"/>
    <s v="Australia"/>
  </r>
  <r>
    <x v="86"/>
    <s v="1/31/2025"/>
    <s v="14:01:58"/>
    <s v="CUST9246"/>
    <s v="MER336"/>
    <x v="1"/>
    <s v="Refund"/>
    <n v="4768.07"/>
    <s v="GBP"/>
    <s v="Success"/>
    <s v="Completed"/>
    <n v="95.36"/>
    <n v="4672.71"/>
    <s v="Australia"/>
  </r>
  <r>
    <x v="87"/>
    <s v="1/30/2025"/>
    <s v="4:04:43"/>
    <s v="CUST9828"/>
    <s v="MER370"/>
    <x v="3"/>
    <s v="Refund"/>
    <n v="3189.18"/>
    <s v="USD"/>
    <s v="Success"/>
    <s v="Completed"/>
    <n v="63.78"/>
    <n v="3125.4"/>
    <s v="USA"/>
  </r>
  <r>
    <x v="88"/>
    <s v="1/11/2025"/>
    <s v="13:37:42"/>
    <s v="CUST6277"/>
    <s v="MER293"/>
    <x v="2"/>
    <s v="Refund"/>
    <n v="2314.25"/>
    <s v="CAD"/>
    <s v="Failed"/>
    <s v="Network Error"/>
    <n v="0"/>
    <n v="0"/>
    <s v="Australia"/>
  </r>
  <r>
    <x v="89"/>
    <s v="1/3/2025"/>
    <s v="18:33:46"/>
    <s v="CUST7059"/>
    <s v="MER934"/>
    <x v="2"/>
    <s v="Subscription"/>
    <n v="1940.52"/>
    <s v="GBP"/>
    <s v="Failed"/>
    <s v="Network Error"/>
    <n v="0"/>
    <n v="0"/>
    <s v="India"/>
  </r>
  <r>
    <x v="90"/>
    <s v="1/7/2025"/>
    <s v="21:38:43"/>
    <s v="CUST7183"/>
    <s v="MER205"/>
    <x v="3"/>
    <s v="Refund"/>
    <n v="2454.9699999999998"/>
    <s v="CAD"/>
    <s v="Failed"/>
    <s v="Card Expired"/>
    <n v="0"/>
    <n v="0"/>
    <s v="USA"/>
  </r>
  <r>
    <x v="91"/>
    <s v="1/25/2025"/>
    <s v="23:01:47"/>
    <s v="CUST4543"/>
    <s v="MER960"/>
    <x v="1"/>
    <s v="Subscription"/>
    <n v="4548.04"/>
    <s v="GBP"/>
    <s v="Success"/>
    <s v="Completed"/>
    <n v="90.96"/>
    <n v="4457.08"/>
    <s v="UK"/>
  </r>
  <r>
    <x v="92"/>
    <s v="1/7/2025"/>
    <s v="2:31:43"/>
    <s v="CUST1682"/>
    <s v="MER638"/>
    <x v="4"/>
    <s v="Purchase"/>
    <n v="4750.95"/>
    <s v="CAD"/>
    <s v="Success"/>
    <s v="Completed"/>
    <n v="95.02"/>
    <n v="4655.93"/>
    <s v="India"/>
  </r>
  <r>
    <x v="93"/>
    <s v="1/9/2025"/>
    <s v="8:29:35"/>
    <s v="CUST1477"/>
    <s v="MER652"/>
    <x v="4"/>
    <s v="Refund"/>
    <n v="839.69"/>
    <s v="AUD"/>
    <s v="Failed"/>
    <s v="Invalid PIN"/>
    <n v="0"/>
    <n v="0"/>
    <s v="UK"/>
  </r>
  <r>
    <x v="94"/>
    <s v="1/28/2025"/>
    <s v="8:26:57"/>
    <s v="CUST3544"/>
    <s v="MER136"/>
    <x v="4"/>
    <s v="Refund"/>
    <n v="4733.71"/>
    <s v="INR"/>
    <s v="Success"/>
    <s v="Completed"/>
    <n v="94.67"/>
    <n v="4639.04"/>
    <s v="Australia"/>
  </r>
  <r>
    <x v="95"/>
    <s v="1/23/2025"/>
    <s v="11:51:20"/>
    <s v="CUST3952"/>
    <s v="MER160"/>
    <x v="2"/>
    <s v="Purchase"/>
    <n v="983.95"/>
    <s v="CAD"/>
    <s v="Failed"/>
    <s v="Completed"/>
    <n v="0"/>
    <n v="0"/>
    <s v="USA"/>
  </r>
  <r>
    <x v="96"/>
    <s v="1/12/2025"/>
    <s v="8:30:33"/>
    <s v="CUST4239"/>
    <s v="MER686"/>
    <x v="1"/>
    <s v="Purchase"/>
    <n v="2306.11"/>
    <s v="INR"/>
    <s v="Failed"/>
    <s v="Network Error"/>
    <n v="0"/>
    <n v="0"/>
    <s v="Australia"/>
  </r>
  <r>
    <x v="97"/>
    <s v="1/3/2025"/>
    <s v="0:15:21"/>
    <s v="CUST4006"/>
    <s v="MER365"/>
    <x v="0"/>
    <s v="Refund"/>
    <n v="3902.86"/>
    <s v="INR"/>
    <s v="Failed"/>
    <s v="Card Expired"/>
    <n v="0"/>
    <n v="0"/>
    <s v="Canada"/>
  </r>
  <r>
    <x v="98"/>
    <s v="1/19/2025"/>
    <s v="0:31:49"/>
    <s v="CUST5449"/>
    <s v="MER477"/>
    <x v="0"/>
    <s v="Purchase"/>
    <n v="2455.27"/>
    <s v="CAD"/>
    <s v="Failed"/>
    <s v="Invalid PIN"/>
    <n v="0"/>
    <n v="0"/>
    <s v="Canada"/>
  </r>
  <r>
    <x v="99"/>
    <s v="1/23/2025"/>
    <s v="8:54:38"/>
    <s v="CUST4036"/>
    <s v="MER207"/>
    <x v="3"/>
    <s v="Purchase"/>
    <n v="4721.8599999999997"/>
    <s v="AUD"/>
    <s v="Success"/>
    <s v="Completed"/>
    <n v="94.44"/>
    <n v="4627.42"/>
    <s v="Indi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x v="0"/>
    <s v="CUST7804"/>
    <s v="MER706"/>
    <s v="Debit Card"/>
    <x v="0"/>
    <n v="1266.76"/>
    <s v="INR"/>
    <s v="Failed"/>
    <s v="Network Error"/>
    <n v="0"/>
    <n v="0"/>
    <s v="USA"/>
  </r>
  <r>
    <s v="T0002"/>
    <s v="1/27/2025"/>
    <x v="1"/>
    <s v="CUST6500"/>
    <s v="MER882"/>
    <s v="Debit Card"/>
    <x v="1"/>
    <n v="3433.6"/>
    <s v="USD"/>
    <s v="Failed"/>
    <s v="Insufficient Funds"/>
    <n v="0"/>
    <n v="0"/>
    <s v="USA"/>
  </r>
  <r>
    <s v="T0003"/>
    <s v="1/14/2025"/>
    <x v="2"/>
    <s v="CUST3480"/>
    <s v="MER797"/>
    <s v="UPI"/>
    <x v="0"/>
    <n v="4534.18"/>
    <s v="USD"/>
    <s v="Failed"/>
    <s v="Card Expired"/>
    <n v="0"/>
    <n v="0"/>
    <s v="Australia"/>
  </r>
  <r>
    <s v="T0004"/>
    <s v="1/3/2025"/>
    <x v="3"/>
    <s v="CUST3978"/>
    <s v="MER166"/>
    <s v="Wallet"/>
    <x v="2"/>
    <n v="2978.47"/>
    <s v="USD"/>
    <s v="Success"/>
    <s v="Completed"/>
    <n v="59.57"/>
    <n v="2918.9"/>
    <s v="Canada"/>
  </r>
  <r>
    <s v="T0005"/>
    <s v="1/2/2025"/>
    <x v="4"/>
    <s v="CUST7766"/>
    <s v="MER620"/>
    <s v="Net Banking"/>
    <x v="2"/>
    <n v="3690.48"/>
    <s v="USD"/>
    <s v="Failed"/>
    <s v="Completed"/>
    <n v="0"/>
    <n v="0"/>
    <s v="Canada"/>
  </r>
  <r>
    <s v="T0006"/>
    <s v="1/29/2025"/>
    <x v="5"/>
    <s v="CUST1423"/>
    <s v="MER587"/>
    <s v="Wallet"/>
    <x v="2"/>
    <n v="1119.6300000000001"/>
    <s v="INR"/>
    <s v="Success"/>
    <s v="Completed"/>
    <n v="22.39"/>
    <n v="1097.24"/>
    <s v="UK"/>
  </r>
  <r>
    <s v="T0007"/>
    <s v="1/27/2025"/>
    <x v="6"/>
    <s v="CUST5609"/>
    <s v="MER616"/>
    <s v="Wallet"/>
    <x v="1"/>
    <n v="4818.3999999999996"/>
    <s v="INR"/>
    <s v="Success"/>
    <s v="Completed"/>
    <n v="96.37"/>
    <n v="4722.03"/>
    <s v="USA"/>
  </r>
  <r>
    <s v="T0008"/>
    <s v="1/19/2025"/>
    <x v="7"/>
    <s v="CUST6471"/>
    <s v="MER159"/>
    <s v="Debit Card"/>
    <x v="0"/>
    <n v="1965.15"/>
    <s v="INR"/>
    <s v="Failed"/>
    <s v="Insufficient Funds"/>
    <n v="0"/>
    <n v="0"/>
    <s v="Canada"/>
  </r>
  <r>
    <s v="T0009"/>
    <s v="1/2/2025"/>
    <x v="8"/>
    <s v="CUST2524"/>
    <s v="MER540"/>
    <s v="Wallet"/>
    <x v="2"/>
    <n v="4603.96"/>
    <s v="INR"/>
    <s v="Failed"/>
    <s v="Completed"/>
    <n v="0"/>
    <n v="0"/>
    <s v="Australia"/>
  </r>
  <r>
    <s v="T0010"/>
    <s v="1/21/2025"/>
    <x v="9"/>
    <s v="CUST6594"/>
    <s v="MER603"/>
    <s v="Net Banking"/>
    <x v="2"/>
    <n v="2990.19"/>
    <s v="GBP"/>
    <s v="Failed"/>
    <s v="Network Error"/>
    <n v="0"/>
    <n v="0"/>
    <s v="Canada"/>
  </r>
  <r>
    <s v="T0011"/>
    <s v="1/12/2025"/>
    <x v="10"/>
    <s v="CUST7865"/>
    <s v="MER707"/>
    <s v="Net Banking"/>
    <x v="0"/>
    <n v="2396.3200000000002"/>
    <s v="USD"/>
    <s v="Success"/>
    <s v="Completed"/>
    <n v="47.93"/>
    <n v="2348.39"/>
    <s v="Canada"/>
  </r>
  <r>
    <s v="T0012"/>
    <s v="1/11/2025"/>
    <x v="11"/>
    <s v="CUST6188"/>
    <s v="MER561"/>
    <s v="Credit Card"/>
    <x v="2"/>
    <n v="131.27000000000001"/>
    <s v="USD"/>
    <s v="Success"/>
    <s v="Completed"/>
    <n v="2.63"/>
    <n v="128.63999999999999"/>
    <s v="Canada"/>
  </r>
  <r>
    <s v="T0013"/>
    <s v="1/8/2025"/>
    <x v="12"/>
    <s v="CUST8175"/>
    <s v="MER359"/>
    <s v="Wallet"/>
    <x v="0"/>
    <n v="4861.8"/>
    <s v="AUD"/>
    <s v="Failed"/>
    <s v="Card Expired"/>
    <n v="0"/>
    <n v="0"/>
    <s v="India"/>
  </r>
  <r>
    <s v="T0014"/>
    <s v="1/27/2025"/>
    <x v="13"/>
    <s v="CUST6623"/>
    <s v="MER551"/>
    <s v="Credit Card"/>
    <x v="0"/>
    <n v="4513.13"/>
    <s v="CAD"/>
    <s v="Failed"/>
    <s v="Insufficient Funds"/>
    <n v="0"/>
    <n v="0"/>
    <s v="USA"/>
  </r>
  <r>
    <s v="T0015"/>
    <s v="1/16/2025"/>
    <x v="14"/>
    <s v="CUST5095"/>
    <s v="MER282"/>
    <s v="Wallet"/>
    <x v="1"/>
    <n v="3282.68"/>
    <s v="USD"/>
    <s v="Failed"/>
    <s v="Invalid PIN"/>
    <n v="0"/>
    <n v="0"/>
    <s v="Australia"/>
  </r>
  <r>
    <s v="T0016"/>
    <s v="1/22/2025"/>
    <x v="15"/>
    <s v="CUST4684"/>
    <s v="MER806"/>
    <s v="Credit Card"/>
    <x v="1"/>
    <n v="1727.92"/>
    <s v="CAD"/>
    <s v="Success"/>
    <s v="Completed"/>
    <n v="34.56"/>
    <n v="1693.36"/>
    <s v="Canada"/>
  </r>
  <r>
    <s v="T0017"/>
    <s v="1/5/2025"/>
    <x v="16"/>
    <s v="CUST8821"/>
    <s v="MER152"/>
    <s v="Wallet"/>
    <x v="0"/>
    <n v="3887.27"/>
    <s v="AUD"/>
    <s v="Success"/>
    <s v="Completed"/>
    <n v="77.75"/>
    <n v="3809.52"/>
    <s v="Canada"/>
  </r>
  <r>
    <s v="T0018"/>
    <s v="1/2/2025"/>
    <x v="17"/>
    <s v="CUST5935"/>
    <s v="MER434"/>
    <s v="Wallet"/>
    <x v="0"/>
    <n v="1856.42"/>
    <s v="CAD"/>
    <s v="Failed"/>
    <s v="Insufficient Funds"/>
    <n v="0"/>
    <n v="0"/>
    <s v="Canada"/>
  </r>
  <r>
    <s v="T0019"/>
    <s v="1/16/2025"/>
    <x v="18"/>
    <s v="CUST8821"/>
    <s v="MER241"/>
    <s v="Wallet"/>
    <x v="0"/>
    <n v="3386.06"/>
    <s v="GBP"/>
    <s v="Failed"/>
    <s v="Completed"/>
    <n v="0"/>
    <n v="0"/>
    <s v="UK"/>
  </r>
  <r>
    <s v="T0020"/>
    <s v="1/1/2025"/>
    <x v="19"/>
    <s v="CUST3124"/>
    <s v="MER543"/>
    <s v="UPI"/>
    <x v="2"/>
    <n v="3763.53"/>
    <s v="INR"/>
    <s v="Success"/>
    <s v="Completed"/>
    <n v="75.27"/>
    <n v="3688.26"/>
    <s v="Canada"/>
  </r>
  <r>
    <s v="T0021"/>
    <s v="1/21/2025"/>
    <x v="20"/>
    <s v="CUST3242"/>
    <s v="MER429"/>
    <s v="Credit Card"/>
    <x v="2"/>
    <n v="2169.5500000000002"/>
    <s v="GBP"/>
    <s v="Failed"/>
    <s v="Insufficient Funds"/>
    <n v="0"/>
    <n v="0"/>
    <s v="USA"/>
  </r>
  <r>
    <s v="T0022"/>
    <s v="1/6/2025"/>
    <x v="21"/>
    <s v="CUST6471"/>
    <s v="MER317"/>
    <s v="Wallet"/>
    <x v="1"/>
    <n v="4058.95"/>
    <s v="AUD"/>
    <s v="Failed"/>
    <s v="Invalid PIN"/>
    <n v="0"/>
    <n v="0"/>
    <s v="USA"/>
  </r>
  <r>
    <s v="T0023"/>
    <s v="1/14/2025"/>
    <x v="22"/>
    <s v="CUST7870"/>
    <s v="MER739"/>
    <s v="UPI"/>
    <x v="0"/>
    <n v="365.03"/>
    <s v="AUD"/>
    <s v="Failed"/>
    <s v="Card Expired"/>
    <n v="0"/>
    <n v="0"/>
    <s v="USA"/>
  </r>
  <r>
    <s v="T0024"/>
    <s v="1/2/2025"/>
    <x v="23"/>
    <s v="CUST8329"/>
    <s v="MER153"/>
    <s v="UPI"/>
    <x v="2"/>
    <n v="4534.22"/>
    <s v="AUD"/>
    <s v="Success"/>
    <s v="Completed"/>
    <n v="90.68"/>
    <n v="4443.54"/>
    <s v="Australia"/>
  </r>
  <r>
    <s v="T0025"/>
    <s v="1/16/2025"/>
    <x v="24"/>
    <s v="CUST5541"/>
    <s v="MER684"/>
    <s v="Credit Card"/>
    <x v="1"/>
    <n v="191.69"/>
    <s v="CAD"/>
    <s v="Success"/>
    <s v="Completed"/>
    <n v="3.83"/>
    <n v="187.86"/>
    <s v="USA"/>
  </r>
  <r>
    <s v="T0026"/>
    <s v="1/24/2025"/>
    <x v="25"/>
    <s v="CUST9555"/>
    <s v="MER941"/>
    <s v="Credit Card"/>
    <x v="2"/>
    <n v="3170.77"/>
    <s v="GBP"/>
    <s v="Success"/>
    <s v="Completed"/>
    <n v="63.42"/>
    <n v="3107.35"/>
    <s v="USA"/>
  </r>
  <r>
    <s v="T0027"/>
    <s v="1/2/2025"/>
    <x v="26"/>
    <s v="CUST3259"/>
    <s v="MER229"/>
    <s v="Credit Card"/>
    <x v="1"/>
    <n v="1501.47"/>
    <s v="USD"/>
    <s v="Success"/>
    <s v="Completed"/>
    <n v="30.03"/>
    <n v="1471.44"/>
    <s v="India"/>
  </r>
  <r>
    <s v="T0028"/>
    <s v="1/18/2025"/>
    <x v="27"/>
    <s v="CUST9501"/>
    <s v="MER121"/>
    <s v="Net Banking"/>
    <x v="1"/>
    <n v="228.92"/>
    <s v="GBP"/>
    <s v="Success"/>
    <s v="Completed"/>
    <n v="4.58"/>
    <n v="224.34"/>
    <s v="Canada"/>
  </r>
  <r>
    <s v="T0029"/>
    <s v="1/11/2025"/>
    <x v="28"/>
    <s v="CUST5653"/>
    <s v="MER205"/>
    <s v="Wallet"/>
    <x v="0"/>
    <n v="2201.7199999999998"/>
    <s v="USD"/>
    <s v="Success"/>
    <s v="Completed"/>
    <n v="44.03"/>
    <n v="2157.69"/>
    <s v="Canada"/>
  </r>
  <r>
    <s v="T0030"/>
    <s v="1/16/2025"/>
    <x v="29"/>
    <s v="CUST2412"/>
    <s v="MER689"/>
    <s v="Wallet"/>
    <x v="1"/>
    <n v="4229.42"/>
    <s v="CAD"/>
    <s v="Success"/>
    <s v="Completed"/>
    <n v="84.59"/>
    <n v="4144.83"/>
    <s v="Australia"/>
  </r>
  <r>
    <s v="T0031"/>
    <s v="1/8/2025"/>
    <x v="30"/>
    <s v="CUST9989"/>
    <s v="MER833"/>
    <s v="UPI"/>
    <x v="1"/>
    <n v="958.62"/>
    <s v="USD"/>
    <s v="Failed"/>
    <s v="Insufficient Funds"/>
    <n v="0"/>
    <n v="0"/>
    <s v="USA"/>
  </r>
  <r>
    <s v="T0032"/>
    <s v="1/30/2025"/>
    <x v="31"/>
    <s v="CUST3812"/>
    <s v="MER639"/>
    <s v="Wallet"/>
    <x v="2"/>
    <n v="2568.09"/>
    <s v="CAD"/>
    <s v="Success"/>
    <s v="Completed"/>
    <n v="51.36"/>
    <n v="2516.73"/>
    <s v="USA"/>
  </r>
  <r>
    <s v="T0033"/>
    <s v="1/10/2025"/>
    <x v="32"/>
    <s v="CUST7383"/>
    <s v="MER806"/>
    <s v="Net Banking"/>
    <x v="2"/>
    <n v="376.7"/>
    <s v="USD"/>
    <s v="Success"/>
    <s v="Completed"/>
    <n v="7.53"/>
    <n v="369.17"/>
    <s v="India"/>
  </r>
  <r>
    <s v="T0034"/>
    <s v="1/11/2025"/>
    <x v="33"/>
    <s v="CUST1647"/>
    <s v="MER195"/>
    <s v="Wallet"/>
    <x v="2"/>
    <n v="4845.1400000000003"/>
    <s v="INR"/>
    <s v="Success"/>
    <s v="Completed"/>
    <n v="96.9"/>
    <n v="4748.24"/>
    <s v="India"/>
  </r>
  <r>
    <s v="T0035"/>
    <s v="1/12/2025"/>
    <x v="34"/>
    <s v="CUST3077"/>
    <s v="MER846"/>
    <s v="Wallet"/>
    <x v="0"/>
    <n v="1440.19"/>
    <s v="INR"/>
    <s v="Failed"/>
    <s v="Insufficient Funds"/>
    <n v="0"/>
    <n v="0"/>
    <s v="Canada"/>
  </r>
  <r>
    <s v="T0036"/>
    <s v="1/1/2025"/>
    <x v="35"/>
    <s v="CUST4044"/>
    <s v="MER747"/>
    <s v="Credit Card"/>
    <x v="2"/>
    <n v="4063.21"/>
    <s v="INR"/>
    <s v="Failed"/>
    <s v="Invalid PIN"/>
    <n v="0"/>
    <n v="0"/>
    <s v="Australia"/>
  </r>
  <r>
    <s v="T0037"/>
    <s v="1/2/2025"/>
    <x v="36"/>
    <s v="CUST1349"/>
    <s v="MER417"/>
    <s v="Net Banking"/>
    <x v="0"/>
    <n v="853.37"/>
    <s v="USD"/>
    <s v="Success"/>
    <s v="Completed"/>
    <n v="17.07"/>
    <n v="836.3"/>
    <s v="UK"/>
  </r>
  <r>
    <s v="T0038"/>
    <s v="1/31/2025"/>
    <x v="37"/>
    <s v="CUST7745"/>
    <s v="MER165"/>
    <s v="Debit Card"/>
    <x v="1"/>
    <n v="3755.03"/>
    <s v="CAD"/>
    <s v="Failed"/>
    <s v="Completed"/>
    <n v="0"/>
    <n v="0"/>
    <s v="Australia"/>
  </r>
  <r>
    <s v="T0039"/>
    <s v="1/7/2025"/>
    <x v="38"/>
    <s v="CUST7687"/>
    <s v="MER726"/>
    <s v="Debit Card"/>
    <x v="2"/>
    <n v="4059.05"/>
    <s v="INR"/>
    <s v="Failed"/>
    <s v="Card Expired"/>
    <n v="0"/>
    <n v="0"/>
    <s v="Australia"/>
  </r>
  <r>
    <s v="T0040"/>
    <s v="1/25/2025"/>
    <x v="39"/>
    <s v="CUST5141"/>
    <s v="MER607"/>
    <s v="Debit Card"/>
    <x v="0"/>
    <n v="3023.24"/>
    <s v="INR"/>
    <s v="Failed"/>
    <s v="Completed"/>
    <n v="0"/>
    <n v="0"/>
    <s v="Australia"/>
  </r>
  <r>
    <s v="T0041"/>
    <s v="1/27/2025"/>
    <x v="40"/>
    <s v="CUST4921"/>
    <s v="MER775"/>
    <s v="UPI"/>
    <x v="1"/>
    <n v="588.4"/>
    <s v="GBP"/>
    <s v="Success"/>
    <s v="Completed"/>
    <n v="11.77"/>
    <n v="576.63"/>
    <s v="Australia"/>
  </r>
  <r>
    <s v="T0042"/>
    <s v="1/17/2025"/>
    <x v="41"/>
    <s v="CUST7841"/>
    <s v="MER976"/>
    <s v="Debit Card"/>
    <x v="1"/>
    <n v="157.19999999999999"/>
    <s v="CAD"/>
    <s v="Success"/>
    <s v="Completed"/>
    <n v="3.14"/>
    <n v="154.06"/>
    <s v="Australia"/>
  </r>
  <r>
    <s v="T0043"/>
    <s v="1/28/2025"/>
    <x v="42"/>
    <s v="CUST9848"/>
    <s v="MER360"/>
    <s v="Wallet"/>
    <x v="0"/>
    <n v="3207.77"/>
    <s v="CAD"/>
    <s v="Success"/>
    <s v="Completed"/>
    <n v="64.16"/>
    <n v="3143.61"/>
    <s v="USA"/>
  </r>
  <r>
    <s v="T0044"/>
    <s v="1/28/2025"/>
    <x v="43"/>
    <s v="CUST3778"/>
    <s v="MER208"/>
    <s v="Credit Card"/>
    <x v="2"/>
    <n v="4810.12"/>
    <s v="CAD"/>
    <s v="Success"/>
    <s v="Completed"/>
    <n v="96.2"/>
    <n v="4713.92"/>
    <s v="UK"/>
  </r>
  <r>
    <s v="T0045"/>
    <s v="1/29/2025"/>
    <x v="44"/>
    <s v="CUST7622"/>
    <s v="MER467"/>
    <s v="Wallet"/>
    <x v="0"/>
    <n v="2592.4499999999998"/>
    <s v="GBP"/>
    <s v="Success"/>
    <s v="Completed"/>
    <n v="51.85"/>
    <n v="2540.6"/>
    <s v="Australia"/>
  </r>
  <r>
    <s v="T0046"/>
    <s v="1/14/2025"/>
    <x v="45"/>
    <s v="CUST4469"/>
    <s v="MER548"/>
    <s v="UPI"/>
    <x v="0"/>
    <n v="1214.9100000000001"/>
    <s v="CAD"/>
    <s v="Success"/>
    <s v="Completed"/>
    <n v="24.3"/>
    <n v="1190.6099999999999"/>
    <s v="USA"/>
  </r>
  <r>
    <s v="T0047"/>
    <s v="1/20/2025"/>
    <x v="46"/>
    <s v="CUST8028"/>
    <s v="MER669"/>
    <s v="Net Banking"/>
    <x v="2"/>
    <n v="1528.95"/>
    <s v="GBP"/>
    <s v="Success"/>
    <s v="Completed"/>
    <n v="30.58"/>
    <n v="1498.37"/>
    <s v="UK"/>
  </r>
  <r>
    <s v="T0048"/>
    <s v="1/27/2025"/>
    <x v="47"/>
    <s v="CUST5505"/>
    <s v="MER934"/>
    <s v="Debit Card"/>
    <x v="1"/>
    <n v="730.12"/>
    <s v="GBP"/>
    <s v="Success"/>
    <s v="Completed"/>
    <n v="14.6"/>
    <n v="715.52"/>
    <s v="India"/>
  </r>
  <r>
    <s v="T0049"/>
    <s v="1/15/2025"/>
    <x v="48"/>
    <s v="CUST9007"/>
    <s v="MER342"/>
    <s v="Net Banking"/>
    <x v="1"/>
    <n v="4650.09"/>
    <s v="AUD"/>
    <s v="Failed"/>
    <s v="Card Expired"/>
    <n v="0"/>
    <n v="0"/>
    <s v="India"/>
  </r>
  <r>
    <s v="T0050"/>
    <s v="1/14/2025"/>
    <x v="49"/>
    <s v="CUST4509"/>
    <s v="MER327"/>
    <s v="Debit Card"/>
    <x v="1"/>
    <n v="3209.93"/>
    <s v="INR"/>
    <s v="Failed"/>
    <s v="Insufficient Funds"/>
    <n v="0"/>
    <n v="0"/>
    <s v="Australia"/>
  </r>
  <r>
    <s v="T0051"/>
    <s v="1/5/2025"/>
    <x v="50"/>
    <s v="CUST1560"/>
    <s v="MER676"/>
    <s v="Credit Card"/>
    <x v="1"/>
    <n v="3849.15"/>
    <s v="GBP"/>
    <s v="Success"/>
    <s v="Completed"/>
    <n v="76.98"/>
    <n v="3772.17"/>
    <s v="USA"/>
  </r>
  <r>
    <s v="T0052"/>
    <s v="1/20/2025"/>
    <x v="51"/>
    <s v="CUST8415"/>
    <s v="MER769"/>
    <s v="Credit Card"/>
    <x v="2"/>
    <n v="145.56"/>
    <s v="AUD"/>
    <s v="Success"/>
    <s v="Completed"/>
    <n v="2.91"/>
    <n v="142.65"/>
    <s v="USA"/>
  </r>
  <r>
    <s v="T0053"/>
    <s v="1/6/2025"/>
    <x v="52"/>
    <s v="CUST6061"/>
    <s v="MER949"/>
    <s v="Wallet"/>
    <x v="0"/>
    <n v="2645.24"/>
    <s v="INR"/>
    <s v="Failed"/>
    <s v="Card Expired"/>
    <n v="0"/>
    <n v="0"/>
    <s v="Australia"/>
  </r>
  <r>
    <s v="T0054"/>
    <s v="1/18/2025"/>
    <x v="53"/>
    <s v="CUST3027"/>
    <s v="MER341"/>
    <s v="Credit Card"/>
    <x v="2"/>
    <n v="4790.95"/>
    <s v="GBP"/>
    <s v="Success"/>
    <s v="Completed"/>
    <n v="95.82"/>
    <n v="4695.13"/>
    <s v="Australia"/>
  </r>
  <r>
    <s v="T0055"/>
    <s v="1/19/2025"/>
    <x v="54"/>
    <s v="CUST3567"/>
    <s v="MER240"/>
    <s v="Credit Card"/>
    <x v="2"/>
    <n v="297.3"/>
    <s v="CAD"/>
    <s v="Failed"/>
    <s v="Insufficient Funds"/>
    <n v="0"/>
    <n v="0"/>
    <s v="UK"/>
  </r>
  <r>
    <s v="T0056"/>
    <s v="1/15/2025"/>
    <x v="55"/>
    <s v="CUST1610"/>
    <s v="MER263"/>
    <s v="Wallet"/>
    <x v="2"/>
    <n v="1428.65"/>
    <s v="INR"/>
    <s v="Failed"/>
    <s v="Completed"/>
    <n v="0"/>
    <n v="0"/>
    <s v="USA"/>
  </r>
  <r>
    <s v="T0057"/>
    <s v="1/7/2025"/>
    <x v="56"/>
    <s v="CUST1159"/>
    <s v="MER366"/>
    <s v="Wallet"/>
    <x v="0"/>
    <n v="3719.31"/>
    <s v="USD"/>
    <s v="Failed"/>
    <s v="Insufficient Funds"/>
    <n v="0"/>
    <n v="0"/>
    <s v="India"/>
  </r>
  <r>
    <s v="T0058"/>
    <s v="1/16/2025"/>
    <x v="57"/>
    <s v="CUST5219"/>
    <s v="MER396"/>
    <s v="Net Banking"/>
    <x v="2"/>
    <n v="3601.1"/>
    <s v="AUD"/>
    <s v="Success"/>
    <s v="Completed"/>
    <n v="72.02"/>
    <n v="3529.08"/>
    <s v="UK"/>
  </r>
  <r>
    <s v="T0059"/>
    <s v="1/29/2025"/>
    <x v="58"/>
    <s v="CUST6037"/>
    <s v="MER590"/>
    <s v="Credit Card"/>
    <x v="1"/>
    <n v="3281.14"/>
    <s v="GBP"/>
    <s v="Failed"/>
    <s v="Insufficient Funds"/>
    <n v="0"/>
    <n v="0"/>
    <s v="India"/>
  </r>
  <r>
    <s v="T0060"/>
    <s v="1/26/2025"/>
    <x v="59"/>
    <s v="CUST7032"/>
    <s v="MER702"/>
    <s v="UPI"/>
    <x v="0"/>
    <n v="1669.54"/>
    <s v="CAD"/>
    <s v="Failed"/>
    <s v="Card Expired"/>
    <n v="0"/>
    <n v="0"/>
    <s v="India"/>
  </r>
  <r>
    <s v="T0061"/>
    <s v="1/2/2025"/>
    <x v="60"/>
    <s v="CUST3728"/>
    <s v="MER681"/>
    <s v="Debit Card"/>
    <x v="1"/>
    <n v="1160.6300000000001"/>
    <s v="CAD"/>
    <s v="Failed"/>
    <s v="Card Expired"/>
    <n v="0"/>
    <n v="0"/>
    <s v="Australia"/>
  </r>
  <r>
    <s v="T0062"/>
    <s v="1/28/2025"/>
    <x v="61"/>
    <s v="CUST8928"/>
    <s v="MER142"/>
    <s v="UPI"/>
    <x v="1"/>
    <n v="1120.8900000000001"/>
    <s v="GBP"/>
    <s v="Success"/>
    <s v="Completed"/>
    <n v="22.42"/>
    <n v="1098.47"/>
    <s v="Australia"/>
  </r>
  <r>
    <s v="T0063"/>
    <s v="1/12/2025"/>
    <x v="62"/>
    <s v="CUST1177"/>
    <s v="MER628"/>
    <s v="UPI"/>
    <x v="0"/>
    <n v="1329.5"/>
    <s v="USD"/>
    <s v="Failed"/>
    <s v="Insufficient Funds"/>
    <n v="0"/>
    <n v="0"/>
    <s v="UK"/>
  </r>
  <r>
    <s v="T0064"/>
    <s v="1/30/2025"/>
    <x v="63"/>
    <s v="CUST1097"/>
    <s v="MER821"/>
    <s v="Net Banking"/>
    <x v="1"/>
    <n v="3216.19"/>
    <s v="INR"/>
    <s v="Success"/>
    <s v="Completed"/>
    <n v="64.319999999999993"/>
    <n v="3151.87"/>
    <s v="Australia"/>
  </r>
  <r>
    <s v="T0065"/>
    <s v="1/1/2025"/>
    <x v="64"/>
    <s v="CUST5015"/>
    <s v="MER429"/>
    <s v="Credit Card"/>
    <x v="2"/>
    <n v="3005.94"/>
    <s v="GBP"/>
    <s v="Failed"/>
    <s v="Completed"/>
    <n v="0"/>
    <n v="0"/>
    <s v="India"/>
  </r>
  <r>
    <s v="T0066"/>
    <s v="1/3/2025"/>
    <x v="65"/>
    <s v="CUST9490"/>
    <s v="MER837"/>
    <s v="Net Banking"/>
    <x v="2"/>
    <n v="3716.34"/>
    <s v="CAD"/>
    <s v="Success"/>
    <s v="Completed"/>
    <n v="74.33"/>
    <n v="3642.01"/>
    <s v="UK"/>
  </r>
  <r>
    <s v="T0067"/>
    <s v="1/14/2025"/>
    <x v="66"/>
    <s v="CUST4028"/>
    <s v="MER143"/>
    <s v="Wallet"/>
    <x v="2"/>
    <n v="2905.35"/>
    <s v="USD"/>
    <s v="Failed"/>
    <s v="Card Expired"/>
    <n v="0"/>
    <n v="0"/>
    <s v="Canada"/>
  </r>
  <r>
    <s v="T0068"/>
    <s v="1/26/2025"/>
    <x v="67"/>
    <s v="CUST3964"/>
    <s v="MER117"/>
    <s v="Wallet"/>
    <x v="0"/>
    <n v="2920.18"/>
    <s v="INR"/>
    <s v="Success"/>
    <s v="Completed"/>
    <n v="58.4"/>
    <n v="2861.78"/>
    <s v="USA"/>
  </r>
  <r>
    <s v="T0069"/>
    <s v="1/14/2025"/>
    <x v="68"/>
    <s v="CUST4674"/>
    <s v="MER839"/>
    <s v="UPI"/>
    <x v="2"/>
    <n v="1150.1400000000001"/>
    <s v="GBP"/>
    <s v="Failed"/>
    <s v="Card Expired"/>
    <n v="0"/>
    <n v="0"/>
    <s v="India"/>
  </r>
  <r>
    <s v="T0070"/>
    <s v="1/3/2025"/>
    <x v="69"/>
    <s v="CUST6364"/>
    <s v="MER733"/>
    <s v="Wallet"/>
    <x v="0"/>
    <n v="1350.42"/>
    <s v="CAD"/>
    <s v="Success"/>
    <s v="Completed"/>
    <n v="27.01"/>
    <n v="1323.41"/>
    <s v="USA"/>
  </r>
  <r>
    <s v="T0071"/>
    <s v="1/20/2025"/>
    <x v="70"/>
    <s v="CUST4437"/>
    <s v="MER526"/>
    <s v="Debit Card"/>
    <x v="2"/>
    <n v="4682.4799999999996"/>
    <s v="CAD"/>
    <s v="Success"/>
    <s v="Completed"/>
    <n v="93.65"/>
    <n v="4588.83"/>
    <s v="UK"/>
  </r>
  <r>
    <s v="T0072"/>
    <s v="1/20/2025"/>
    <x v="71"/>
    <s v="CUST7592"/>
    <s v="MER395"/>
    <s v="Net Banking"/>
    <x v="2"/>
    <n v="284.18"/>
    <s v="INR"/>
    <s v="Failed"/>
    <s v="Completed"/>
    <n v="0"/>
    <n v="0"/>
    <s v="Australia"/>
  </r>
  <r>
    <s v="T0073"/>
    <s v="1/5/2025"/>
    <x v="72"/>
    <s v="CUST1198"/>
    <s v="MER906"/>
    <s v="Wallet"/>
    <x v="2"/>
    <n v="4143.62"/>
    <s v="GBP"/>
    <s v="Failed"/>
    <s v="Card Expired"/>
    <n v="0"/>
    <n v="0"/>
    <s v="India"/>
  </r>
  <r>
    <s v="T0074"/>
    <s v="1/20/2025"/>
    <x v="73"/>
    <s v="CUST4604"/>
    <s v="MER914"/>
    <s v="Credit Card"/>
    <x v="1"/>
    <n v="405.04"/>
    <s v="GBP"/>
    <s v="Failed"/>
    <s v="Invalid PIN"/>
    <n v="0"/>
    <n v="0"/>
    <s v="UK"/>
  </r>
  <r>
    <s v="T0075"/>
    <s v="1/8/2025"/>
    <x v="74"/>
    <s v="CUST3959"/>
    <s v="MER184"/>
    <s v="Credit Card"/>
    <x v="0"/>
    <n v="226.51"/>
    <s v="INR"/>
    <s v="Success"/>
    <s v="Completed"/>
    <n v="4.53"/>
    <n v="221.98"/>
    <s v="India"/>
  </r>
  <r>
    <s v="T0076"/>
    <s v="1/11/2025"/>
    <x v="75"/>
    <s v="CUST1986"/>
    <s v="MER165"/>
    <s v="Net Banking"/>
    <x v="2"/>
    <n v="1414.17"/>
    <s v="INR"/>
    <s v="Success"/>
    <s v="Completed"/>
    <n v="28.28"/>
    <n v="1385.89"/>
    <s v="Canada"/>
  </r>
  <r>
    <s v="T0077"/>
    <s v="1/11/2025"/>
    <x v="76"/>
    <s v="CUST1344"/>
    <s v="MER661"/>
    <s v="Wallet"/>
    <x v="1"/>
    <n v="4164.8"/>
    <s v="USD"/>
    <s v="Success"/>
    <s v="Completed"/>
    <n v="83.3"/>
    <n v="4081.5"/>
    <s v="Australia"/>
  </r>
  <r>
    <s v="T0078"/>
    <s v="1/10/2025"/>
    <x v="77"/>
    <s v="CUST4127"/>
    <s v="MER426"/>
    <s v="Wallet"/>
    <x v="1"/>
    <n v="923.44"/>
    <s v="USD"/>
    <s v="Failed"/>
    <s v="Completed"/>
    <n v="0"/>
    <n v="0"/>
    <s v="USA"/>
  </r>
  <r>
    <s v="T0079"/>
    <s v="1/16/2025"/>
    <x v="78"/>
    <s v="CUST3634"/>
    <s v="MER167"/>
    <s v="Debit Card"/>
    <x v="1"/>
    <n v="3585.36"/>
    <s v="USD"/>
    <s v="Failed"/>
    <s v="Completed"/>
    <n v="0"/>
    <n v="0"/>
    <s v="India"/>
  </r>
  <r>
    <s v="T0080"/>
    <s v="1/20/2025"/>
    <x v="79"/>
    <s v="CUST4051"/>
    <s v="MER731"/>
    <s v="UPI"/>
    <x v="0"/>
    <n v="332.55"/>
    <s v="AUD"/>
    <s v="Failed"/>
    <s v="Completed"/>
    <n v="0"/>
    <n v="0"/>
    <s v="Australia"/>
  </r>
  <r>
    <s v="T0081"/>
    <s v="1/5/2025"/>
    <x v="80"/>
    <s v="CUST6551"/>
    <s v="MER395"/>
    <s v="Credit Card"/>
    <x v="1"/>
    <n v="4215.55"/>
    <s v="INR"/>
    <s v="Failed"/>
    <s v="Invalid PIN"/>
    <n v="0"/>
    <n v="0"/>
    <s v="USA"/>
  </r>
  <r>
    <s v="T0082"/>
    <s v="1/11/2025"/>
    <x v="81"/>
    <s v="CUST5590"/>
    <s v="MER312"/>
    <s v="Net Banking"/>
    <x v="1"/>
    <n v="3386.76"/>
    <s v="CAD"/>
    <s v="Failed"/>
    <s v="Card Expired"/>
    <n v="0"/>
    <n v="0"/>
    <s v="USA"/>
  </r>
  <r>
    <s v="T0083"/>
    <s v="1/6/2025"/>
    <x v="82"/>
    <s v="CUST8982"/>
    <s v="MER104"/>
    <s v="Credit Card"/>
    <x v="1"/>
    <n v="3307"/>
    <s v="USD"/>
    <s v="Failed"/>
    <s v="Insufficient Funds"/>
    <n v="0"/>
    <n v="0"/>
    <s v="India"/>
  </r>
  <r>
    <s v="T0084"/>
    <s v="1/13/2025"/>
    <x v="83"/>
    <s v="CUST8445"/>
    <s v="MER698"/>
    <s v="Credit Card"/>
    <x v="2"/>
    <n v="1946.68"/>
    <s v="USD"/>
    <s v="Success"/>
    <s v="Completed"/>
    <n v="38.93"/>
    <n v="1907.75"/>
    <s v="Australia"/>
  </r>
  <r>
    <s v="T0085"/>
    <s v="1/11/2025"/>
    <x v="84"/>
    <s v="CUST6819"/>
    <s v="MER860"/>
    <s v="UPI"/>
    <x v="2"/>
    <n v="3141.59"/>
    <s v="AUD"/>
    <s v="Failed"/>
    <s v="Invalid PIN"/>
    <n v="0"/>
    <n v="0"/>
    <s v="Australia"/>
  </r>
  <r>
    <s v="T0086"/>
    <s v="1/14/2025"/>
    <x v="85"/>
    <s v="CUST5604"/>
    <s v="MER539"/>
    <s v="UPI"/>
    <x v="2"/>
    <n v="1830.94"/>
    <s v="CAD"/>
    <s v="Success"/>
    <s v="Completed"/>
    <n v="36.619999999999997"/>
    <n v="1794.32"/>
    <s v="Australia"/>
  </r>
  <r>
    <s v="T0087"/>
    <s v="1/31/2025"/>
    <x v="86"/>
    <s v="CUST9246"/>
    <s v="MER336"/>
    <s v="UPI"/>
    <x v="1"/>
    <n v="4768.07"/>
    <s v="GBP"/>
    <s v="Success"/>
    <s v="Completed"/>
    <n v="95.36"/>
    <n v="4672.71"/>
    <s v="Australia"/>
  </r>
  <r>
    <s v="T0088"/>
    <s v="1/30/2025"/>
    <x v="87"/>
    <s v="CUST9828"/>
    <s v="MER370"/>
    <s v="Net Banking"/>
    <x v="1"/>
    <n v="3189.18"/>
    <s v="USD"/>
    <s v="Success"/>
    <s v="Completed"/>
    <n v="63.78"/>
    <n v="3125.4"/>
    <s v="USA"/>
  </r>
  <r>
    <s v="T0089"/>
    <s v="1/11/2025"/>
    <x v="88"/>
    <s v="CUST6277"/>
    <s v="MER293"/>
    <s v="Wallet"/>
    <x v="1"/>
    <n v="2314.25"/>
    <s v="CAD"/>
    <s v="Failed"/>
    <s v="Network Error"/>
    <n v="0"/>
    <n v="0"/>
    <s v="Australia"/>
  </r>
  <r>
    <s v="T0090"/>
    <s v="1/3/2025"/>
    <x v="89"/>
    <s v="CUST7059"/>
    <s v="MER934"/>
    <s v="Wallet"/>
    <x v="0"/>
    <n v="1940.52"/>
    <s v="GBP"/>
    <s v="Failed"/>
    <s v="Network Error"/>
    <n v="0"/>
    <n v="0"/>
    <s v="India"/>
  </r>
  <r>
    <s v="T0091"/>
    <s v="1/7/2025"/>
    <x v="90"/>
    <s v="CUST7183"/>
    <s v="MER205"/>
    <s v="Net Banking"/>
    <x v="1"/>
    <n v="2454.9699999999998"/>
    <s v="CAD"/>
    <s v="Failed"/>
    <s v="Card Expired"/>
    <n v="0"/>
    <n v="0"/>
    <s v="USA"/>
  </r>
  <r>
    <s v="T0092"/>
    <s v="1/25/2025"/>
    <x v="91"/>
    <s v="CUST4543"/>
    <s v="MER960"/>
    <s v="UPI"/>
    <x v="0"/>
    <n v="4548.04"/>
    <s v="GBP"/>
    <s v="Success"/>
    <s v="Completed"/>
    <n v="90.96"/>
    <n v="4457.08"/>
    <s v="UK"/>
  </r>
  <r>
    <s v="T0093"/>
    <s v="1/7/2025"/>
    <x v="92"/>
    <s v="CUST1682"/>
    <s v="MER638"/>
    <s v="Credit Card"/>
    <x v="2"/>
    <n v="4750.95"/>
    <s v="CAD"/>
    <s v="Success"/>
    <s v="Completed"/>
    <n v="95.02"/>
    <n v="4655.93"/>
    <s v="India"/>
  </r>
  <r>
    <s v="T0094"/>
    <s v="1/9/2025"/>
    <x v="93"/>
    <s v="CUST1477"/>
    <s v="MER652"/>
    <s v="Credit Card"/>
    <x v="1"/>
    <n v="839.69"/>
    <s v="AUD"/>
    <s v="Failed"/>
    <s v="Invalid PIN"/>
    <n v="0"/>
    <n v="0"/>
    <s v="UK"/>
  </r>
  <r>
    <s v="T0095"/>
    <s v="1/28/2025"/>
    <x v="94"/>
    <s v="CUST3544"/>
    <s v="MER136"/>
    <s v="Credit Card"/>
    <x v="1"/>
    <n v="4733.71"/>
    <s v="INR"/>
    <s v="Success"/>
    <s v="Completed"/>
    <n v="94.67"/>
    <n v="4639.04"/>
    <s v="Australia"/>
  </r>
  <r>
    <s v="T0096"/>
    <s v="1/23/2025"/>
    <x v="95"/>
    <s v="CUST3952"/>
    <s v="MER160"/>
    <s v="Wallet"/>
    <x v="2"/>
    <n v="983.95"/>
    <s v="CAD"/>
    <s v="Failed"/>
    <s v="Completed"/>
    <n v="0"/>
    <n v="0"/>
    <s v="USA"/>
  </r>
  <r>
    <s v="T0097"/>
    <s v="1/12/2025"/>
    <x v="96"/>
    <s v="CUST4239"/>
    <s v="MER686"/>
    <s v="UPI"/>
    <x v="2"/>
    <n v="2306.11"/>
    <s v="INR"/>
    <s v="Failed"/>
    <s v="Network Error"/>
    <n v="0"/>
    <n v="0"/>
    <s v="Australia"/>
  </r>
  <r>
    <s v="T0098"/>
    <s v="1/3/2025"/>
    <x v="97"/>
    <s v="CUST4006"/>
    <s v="MER365"/>
    <s v="Debit Card"/>
    <x v="1"/>
    <n v="3902.86"/>
    <s v="INR"/>
    <s v="Failed"/>
    <s v="Card Expired"/>
    <n v="0"/>
    <n v="0"/>
    <s v="Canada"/>
  </r>
  <r>
    <s v="T0099"/>
    <s v="1/19/2025"/>
    <x v="98"/>
    <s v="CUST5449"/>
    <s v="MER477"/>
    <s v="Debit Card"/>
    <x v="2"/>
    <n v="2455.27"/>
    <s v="CAD"/>
    <s v="Failed"/>
    <s v="Invalid PIN"/>
    <n v="0"/>
    <n v="0"/>
    <s v="Canada"/>
  </r>
  <r>
    <s v="T0100"/>
    <s v="1/23/2025"/>
    <x v="99"/>
    <s v="CUST4036"/>
    <s v="MER207"/>
    <s v="Net Banking"/>
    <x v="2"/>
    <n v="4721.8599999999997"/>
    <s v="AUD"/>
    <s v="Success"/>
    <s v="Completed"/>
    <n v="94.44"/>
    <n v="4627.42"/>
    <s v="India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1/18/2025"/>
    <s v="0:53:56"/>
    <s v="CUST7804"/>
    <s v="MER706"/>
    <s v="Debit Card"/>
    <s v="Subscription"/>
    <n v="1266.76"/>
    <x v="0"/>
    <s v="Failed"/>
    <s v="Network Error"/>
    <n v="0"/>
    <n v="0"/>
    <s v="USA"/>
  </r>
  <r>
    <x v="1"/>
    <s v="1/27/2025"/>
    <s v="15:15:08"/>
    <s v="CUST6500"/>
    <s v="MER882"/>
    <s v="Debit Card"/>
    <s v="Refund"/>
    <n v="3433.6"/>
    <x v="1"/>
    <s v="Failed"/>
    <s v="Insufficient Funds"/>
    <n v="0"/>
    <n v="0"/>
    <s v="USA"/>
  </r>
  <r>
    <x v="2"/>
    <s v="1/14/2025"/>
    <s v="20:31:23"/>
    <s v="CUST3480"/>
    <s v="MER797"/>
    <s v="UPI"/>
    <s v="Subscription"/>
    <n v="4534.18"/>
    <x v="1"/>
    <s v="Failed"/>
    <s v="Card Expired"/>
    <n v="0"/>
    <n v="0"/>
    <s v="Australia"/>
  </r>
  <r>
    <x v="3"/>
    <s v="1/3/2025"/>
    <s v="18:01:55"/>
    <s v="CUST3978"/>
    <s v="MER166"/>
    <s v="Wallet"/>
    <s v="Purchase"/>
    <n v="2978.47"/>
    <x v="1"/>
    <s v="Success"/>
    <s v="Completed"/>
    <n v="59.57"/>
    <n v="2918.9"/>
    <s v="Canada"/>
  </r>
  <r>
    <x v="4"/>
    <s v="1/2/2025"/>
    <s v="8:46:30"/>
    <s v="CUST7766"/>
    <s v="MER620"/>
    <s v="Net Banking"/>
    <s v="Purchase"/>
    <n v="3690.48"/>
    <x v="1"/>
    <s v="Failed"/>
    <s v="Completed"/>
    <n v="0"/>
    <n v="0"/>
    <s v="Canada"/>
  </r>
  <r>
    <x v="5"/>
    <s v="1/29/2025"/>
    <s v="11:33:00"/>
    <s v="CUST1423"/>
    <s v="MER587"/>
    <s v="Wallet"/>
    <s v="Purchase"/>
    <n v="1119.6300000000001"/>
    <x v="0"/>
    <s v="Success"/>
    <s v="Completed"/>
    <n v="22.39"/>
    <n v="1097.24"/>
    <s v="UK"/>
  </r>
  <r>
    <x v="6"/>
    <s v="1/27/2025"/>
    <s v="18:26:29"/>
    <s v="CUST5609"/>
    <s v="MER616"/>
    <s v="Wallet"/>
    <s v="Refund"/>
    <n v="4818.3999999999996"/>
    <x v="0"/>
    <s v="Success"/>
    <s v="Completed"/>
    <n v="96.37"/>
    <n v="4722.03"/>
    <s v="USA"/>
  </r>
  <r>
    <x v="7"/>
    <s v="1/19/2025"/>
    <s v="8:48:50"/>
    <s v="CUST6471"/>
    <s v="MER159"/>
    <s v="Debit Card"/>
    <s v="Subscription"/>
    <n v="1965.15"/>
    <x v="0"/>
    <s v="Failed"/>
    <s v="Insufficient Funds"/>
    <n v="0"/>
    <n v="0"/>
    <s v="Canada"/>
  </r>
  <r>
    <x v="8"/>
    <s v="1/2/2025"/>
    <s v="15:22:59"/>
    <s v="CUST2524"/>
    <s v="MER540"/>
    <s v="Wallet"/>
    <s v="Purchase"/>
    <n v="4603.96"/>
    <x v="0"/>
    <s v="Failed"/>
    <s v="Completed"/>
    <n v="0"/>
    <n v="0"/>
    <s v="Australia"/>
  </r>
  <r>
    <x v="9"/>
    <s v="1/21/2025"/>
    <s v="2:03:02"/>
    <s v="CUST6594"/>
    <s v="MER603"/>
    <s v="Net Banking"/>
    <s v="Purchase"/>
    <n v="2990.19"/>
    <x v="2"/>
    <s v="Failed"/>
    <s v="Network Error"/>
    <n v="0"/>
    <n v="0"/>
    <s v="Canada"/>
  </r>
  <r>
    <x v="10"/>
    <s v="1/12/2025"/>
    <s v="7:53:35"/>
    <s v="CUST7865"/>
    <s v="MER707"/>
    <s v="Net Banking"/>
    <s v="Subscription"/>
    <n v="2396.3200000000002"/>
    <x v="1"/>
    <s v="Success"/>
    <s v="Completed"/>
    <n v="47.93"/>
    <n v="2348.39"/>
    <s v="Canada"/>
  </r>
  <r>
    <x v="11"/>
    <s v="1/11/2025"/>
    <s v="8:57:22"/>
    <s v="CUST6188"/>
    <s v="MER561"/>
    <s v="Credit Card"/>
    <s v="Purchase"/>
    <n v="131.27000000000001"/>
    <x v="1"/>
    <s v="Success"/>
    <s v="Completed"/>
    <n v="2.63"/>
    <n v="128.63999999999999"/>
    <s v="Canada"/>
  </r>
  <r>
    <x v="12"/>
    <s v="1/8/2025"/>
    <s v="0:32:35"/>
    <s v="CUST8175"/>
    <s v="MER359"/>
    <s v="Wallet"/>
    <s v="Subscription"/>
    <n v="4861.8"/>
    <x v="3"/>
    <s v="Failed"/>
    <s v="Card Expired"/>
    <n v="0"/>
    <n v="0"/>
    <s v="India"/>
  </r>
  <r>
    <x v="13"/>
    <s v="1/27/2025"/>
    <s v="3:26:44"/>
    <s v="CUST6623"/>
    <s v="MER551"/>
    <s v="Credit Card"/>
    <s v="Subscription"/>
    <n v="4513.13"/>
    <x v="4"/>
    <s v="Failed"/>
    <s v="Insufficient Funds"/>
    <n v="0"/>
    <n v="0"/>
    <s v="USA"/>
  </r>
  <r>
    <x v="14"/>
    <s v="1/16/2025"/>
    <s v="4:05:55"/>
    <s v="CUST5095"/>
    <s v="MER282"/>
    <s v="Wallet"/>
    <s v="Refund"/>
    <n v="3282.68"/>
    <x v="1"/>
    <s v="Failed"/>
    <s v="Invalid PIN"/>
    <n v="0"/>
    <n v="0"/>
    <s v="Australia"/>
  </r>
  <r>
    <x v="15"/>
    <s v="1/22/2025"/>
    <s v="4:41:43"/>
    <s v="CUST4684"/>
    <s v="MER806"/>
    <s v="Credit Card"/>
    <s v="Refund"/>
    <n v="1727.92"/>
    <x v="4"/>
    <s v="Success"/>
    <s v="Completed"/>
    <n v="34.56"/>
    <n v="1693.36"/>
    <s v="Canada"/>
  </r>
  <r>
    <x v="16"/>
    <s v="1/5/2025"/>
    <s v="5:02:02"/>
    <s v="CUST8821"/>
    <s v="MER152"/>
    <s v="Wallet"/>
    <s v="Subscription"/>
    <n v="3887.27"/>
    <x v="3"/>
    <s v="Success"/>
    <s v="Completed"/>
    <n v="77.75"/>
    <n v="3809.52"/>
    <s v="Canada"/>
  </r>
  <r>
    <x v="17"/>
    <s v="1/2/2025"/>
    <s v="7:45:59"/>
    <s v="CUST5935"/>
    <s v="MER434"/>
    <s v="Wallet"/>
    <s v="Subscription"/>
    <n v="1856.42"/>
    <x v="4"/>
    <s v="Failed"/>
    <s v="Insufficient Funds"/>
    <n v="0"/>
    <n v="0"/>
    <s v="Canada"/>
  </r>
  <r>
    <x v="18"/>
    <s v="1/16/2025"/>
    <s v="12:19:52"/>
    <s v="CUST8821"/>
    <s v="MER241"/>
    <s v="Wallet"/>
    <s v="Subscription"/>
    <n v="3386.06"/>
    <x v="2"/>
    <s v="Failed"/>
    <s v="Completed"/>
    <n v="0"/>
    <n v="0"/>
    <s v="UK"/>
  </r>
  <r>
    <x v="19"/>
    <s v="1/1/2025"/>
    <s v="3:34:34"/>
    <s v="CUST3124"/>
    <s v="MER543"/>
    <s v="UPI"/>
    <s v="Purchase"/>
    <n v="3763.53"/>
    <x v="0"/>
    <s v="Success"/>
    <s v="Completed"/>
    <n v="75.27"/>
    <n v="3688.26"/>
    <s v="Canada"/>
  </r>
  <r>
    <x v="20"/>
    <s v="1/21/2025"/>
    <s v="17:04:39"/>
    <s v="CUST3242"/>
    <s v="MER429"/>
    <s v="Credit Card"/>
    <s v="Purchase"/>
    <n v="2169.5500000000002"/>
    <x v="2"/>
    <s v="Failed"/>
    <s v="Insufficient Funds"/>
    <n v="0"/>
    <n v="0"/>
    <s v="USA"/>
  </r>
  <r>
    <x v="21"/>
    <s v="1/6/2025"/>
    <s v="19:16:01"/>
    <s v="CUST6471"/>
    <s v="MER317"/>
    <s v="Wallet"/>
    <s v="Refund"/>
    <n v="4058.95"/>
    <x v="3"/>
    <s v="Failed"/>
    <s v="Invalid PIN"/>
    <n v="0"/>
    <n v="0"/>
    <s v="USA"/>
  </r>
  <r>
    <x v="22"/>
    <s v="1/14/2025"/>
    <s v="6:31:39"/>
    <s v="CUST7870"/>
    <s v="MER739"/>
    <s v="UPI"/>
    <s v="Subscription"/>
    <n v="365.03"/>
    <x v="3"/>
    <s v="Failed"/>
    <s v="Card Expired"/>
    <n v="0"/>
    <n v="0"/>
    <s v="USA"/>
  </r>
  <r>
    <x v="23"/>
    <s v="1/2/2025"/>
    <s v="1:29:05"/>
    <s v="CUST8329"/>
    <s v="MER153"/>
    <s v="UPI"/>
    <s v="Purchase"/>
    <n v="4534.22"/>
    <x v="3"/>
    <s v="Success"/>
    <s v="Completed"/>
    <n v="90.68"/>
    <n v="4443.54"/>
    <s v="Australia"/>
  </r>
  <r>
    <x v="24"/>
    <s v="1/16/2025"/>
    <s v="19:47:14"/>
    <s v="CUST5541"/>
    <s v="MER684"/>
    <s v="Credit Card"/>
    <s v="Refund"/>
    <n v="191.69"/>
    <x v="4"/>
    <s v="Success"/>
    <s v="Completed"/>
    <n v="3.83"/>
    <n v="187.86"/>
    <s v="USA"/>
  </r>
  <r>
    <x v="25"/>
    <s v="1/24/2025"/>
    <s v="8:15:58"/>
    <s v="CUST9555"/>
    <s v="MER941"/>
    <s v="Credit Card"/>
    <s v="Purchase"/>
    <n v="3170.77"/>
    <x v="2"/>
    <s v="Success"/>
    <s v="Completed"/>
    <n v="63.42"/>
    <n v="3107.35"/>
    <s v="USA"/>
  </r>
  <r>
    <x v="26"/>
    <s v="1/2/2025"/>
    <s v="16:58:41"/>
    <s v="CUST3259"/>
    <s v="MER229"/>
    <s v="Credit Card"/>
    <s v="Refund"/>
    <n v="1501.47"/>
    <x v="1"/>
    <s v="Success"/>
    <s v="Completed"/>
    <n v="30.03"/>
    <n v="1471.44"/>
    <s v="India"/>
  </r>
  <r>
    <x v="27"/>
    <s v="1/18/2025"/>
    <s v="6:57:25"/>
    <s v="CUST9501"/>
    <s v="MER121"/>
    <s v="Net Banking"/>
    <s v="Refund"/>
    <n v="228.92"/>
    <x v="2"/>
    <s v="Success"/>
    <s v="Completed"/>
    <n v="4.58"/>
    <n v="224.34"/>
    <s v="Canada"/>
  </r>
  <r>
    <x v="28"/>
    <s v="1/11/2025"/>
    <s v="13:12:35"/>
    <s v="CUST5653"/>
    <s v="MER205"/>
    <s v="Wallet"/>
    <s v="Subscription"/>
    <n v="2201.7199999999998"/>
    <x v="1"/>
    <s v="Success"/>
    <s v="Completed"/>
    <n v="44.03"/>
    <n v="2157.69"/>
    <s v="Canada"/>
  </r>
  <r>
    <x v="29"/>
    <s v="1/16/2025"/>
    <s v="8:18:31"/>
    <s v="CUST2412"/>
    <s v="MER689"/>
    <s v="Wallet"/>
    <s v="Refund"/>
    <n v="4229.42"/>
    <x v="4"/>
    <s v="Success"/>
    <s v="Completed"/>
    <n v="84.59"/>
    <n v="4144.83"/>
    <s v="Australia"/>
  </r>
  <r>
    <x v="30"/>
    <s v="1/8/2025"/>
    <s v="17:51:33"/>
    <s v="CUST9989"/>
    <s v="MER833"/>
    <s v="UPI"/>
    <s v="Refund"/>
    <n v="958.62"/>
    <x v="1"/>
    <s v="Failed"/>
    <s v="Insufficient Funds"/>
    <n v="0"/>
    <n v="0"/>
    <s v="USA"/>
  </r>
  <r>
    <x v="31"/>
    <s v="1/30/2025"/>
    <s v="13:59:11"/>
    <s v="CUST3812"/>
    <s v="MER639"/>
    <s v="Wallet"/>
    <s v="Purchase"/>
    <n v="2568.09"/>
    <x v="4"/>
    <s v="Success"/>
    <s v="Completed"/>
    <n v="51.36"/>
    <n v="2516.73"/>
    <s v="USA"/>
  </r>
  <r>
    <x v="32"/>
    <s v="1/10/2025"/>
    <s v="15:01:00"/>
    <s v="CUST7383"/>
    <s v="MER806"/>
    <s v="Net Banking"/>
    <s v="Purchase"/>
    <n v="376.7"/>
    <x v="1"/>
    <s v="Success"/>
    <s v="Completed"/>
    <n v="7.53"/>
    <n v="369.17"/>
    <s v="India"/>
  </r>
  <r>
    <x v="33"/>
    <s v="1/11/2025"/>
    <s v="13:04:56"/>
    <s v="CUST1647"/>
    <s v="MER195"/>
    <s v="Wallet"/>
    <s v="Purchase"/>
    <n v="4845.1400000000003"/>
    <x v="0"/>
    <s v="Success"/>
    <s v="Completed"/>
    <n v="96.9"/>
    <n v="4748.24"/>
    <s v="India"/>
  </r>
  <r>
    <x v="34"/>
    <s v="1/12/2025"/>
    <s v="4:56:48"/>
    <s v="CUST3077"/>
    <s v="MER846"/>
    <s v="Wallet"/>
    <s v="Subscription"/>
    <n v="1440.19"/>
    <x v="0"/>
    <s v="Failed"/>
    <s v="Insufficient Funds"/>
    <n v="0"/>
    <n v="0"/>
    <s v="Canada"/>
  </r>
  <r>
    <x v="35"/>
    <s v="1/1/2025"/>
    <s v="4:29:38"/>
    <s v="CUST4044"/>
    <s v="MER747"/>
    <s v="Credit Card"/>
    <s v="Purchase"/>
    <n v="4063.21"/>
    <x v="0"/>
    <s v="Failed"/>
    <s v="Invalid PIN"/>
    <n v="0"/>
    <n v="0"/>
    <s v="Australia"/>
  </r>
  <r>
    <x v="36"/>
    <s v="1/2/2025"/>
    <s v="15:19:56"/>
    <s v="CUST1349"/>
    <s v="MER417"/>
    <s v="Net Banking"/>
    <s v="Subscription"/>
    <n v="853.37"/>
    <x v="1"/>
    <s v="Success"/>
    <s v="Completed"/>
    <n v="17.07"/>
    <n v="836.3"/>
    <s v="UK"/>
  </r>
  <r>
    <x v="37"/>
    <s v="1/31/2025"/>
    <s v="22:43:57"/>
    <s v="CUST7745"/>
    <s v="MER165"/>
    <s v="Debit Card"/>
    <s v="Refund"/>
    <n v="3755.03"/>
    <x v="4"/>
    <s v="Failed"/>
    <s v="Completed"/>
    <n v="0"/>
    <n v="0"/>
    <s v="Australia"/>
  </r>
  <r>
    <x v="38"/>
    <s v="1/7/2025"/>
    <s v="17:03:44"/>
    <s v="CUST7687"/>
    <s v="MER726"/>
    <s v="Debit Card"/>
    <s v="Purchase"/>
    <n v="4059.05"/>
    <x v="0"/>
    <s v="Failed"/>
    <s v="Card Expired"/>
    <n v="0"/>
    <n v="0"/>
    <s v="Australia"/>
  </r>
  <r>
    <x v="39"/>
    <s v="1/25/2025"/>
    <s v="7:05:57"/>
    <s v="CUST5141"/>
    <s v="MER607"/>
    <s v="Debit Card"/>
    <s v="Subscription"/>
    <n v="3023.24"/>
    <x v="0"/>
    <s v="Failed"/>
    <s v="Completed"/>
    <n v="0"/>
    <n v="0"/>
    <s v="Australia"/>
  </r>
  <r>
    <x v="40"/>
    <s v="1/27/2025"/>
    <s v="10:44:16"/>
    <s v="CUST4921"/>
    <s v="MER775"/>
    <s v="UPI"/>
    <s v="Refund"/>
    <n v="588.4"/>
    <x v="2"/>
    <s v="Success"/>
    <s v="Completed"/>
    <n v="11.77"/>
    <n v="576.63"/>
    <s v="Australia"/>
  </r>
  <r>
    <x v="41"/>
    <s v="1/17/2025"/>
    <s v="19:56:26"/>
    <s v="CUST7841"/>
    <s v="MER976"/>
    <s v="Debit Card"/>
    <s v="Refund"/>
    <n v="157.19999999999999"/>
    <x v="4"/>
    <s v="Success"/>
    <s v="Completed"/>
    <n v="3.14"/>
    <n v="154.06"/>
    <s v="Australia"/>
  </r>
  <r>
    <x v="42"/>
    <s v="1/28/2025"/>
    <s v="4:41:08"/>
    <s v="CUST9848"/>
    <s v="MER360"/>
    <s v="Wallet"/>
    <s v="Subscription"/>
    <n v="3207.77"/>
    <x v="4"/>
    <s v="Success"/>
    <s v="Completed"/>
    <n v="64.16"/>
    <n v="3143.61"/>
    <s v="USA"/>
  </r>
  <r>
    <x v="43"/>
    <s v="1/28/2025"/>
    <s v="11:00:40"/>
    <s v="CUST3778"/>
    <s v="MER208"/>
    <s v="Credit Card"/>
    <s v="Purchase"/>
    <n v="4810.12"/>
    <x v="4"/>
    <s v="Success"/>
    <s v="Completed"/>
    <n v="96.2"/>
    <n v="4713.92"/>
    <s v="UK"/>
  </r>
  <r>
    <x v="44"/>
    <s v="1/29/2025"/>
    <s v="7:01:13"/>
    <s v="CUST7622"/>
    <s v="MER467"/>
    <s v="Wallet"/>
    <s v="Subscription"/>
    <n v="2592.4499999999998"/>
    <x v="2"/>
    <s v="Success"/>
    <s v="Completed"/>
    <n v="51.85"/>
    <n v="2540.6"/>
    <s v="Australia"/>
  </r>
  <r>
    <x v="45"/>
    <s v="1/14/2025"/>
    <s v="6:23:04"/>
    <s v="CUST4469"/>
    <s v="MER548"/>
    <s v="UPI"/>
    <s v="Subscription"/>
    <n v="1214.9100000000001"/>
    <x v="4"/>
    <s v="Success"/>
    <s v="Completed"/>
    <n v="24.3"/>
    <n v="1190.6099999999999"/>
    <s v="USA"/>
  </r>
  <r>
    <x v="46"/>
    <s v="1/20/2025"/>
    <s v="6:29:29"/>
    <s v="CUST8028"/>
    <s v="MER669"/>
    <s v="Net Banking"/>
    <s v="Purchase"/>
    <n v="1528.95"/>
    <x v="2"/>
    <s v="Success"/>
    <s v="Completed"/>
    <n v="30.58"/>
    <n v="1498.37"/>
    <s v="UK"/>
  </r>
  <r>
    <x v="47"/>
    <s v="1/27/2025"/>
    <s v="2:28:51"/>
    <s v="CUST5505"/>
    <s v="MER934"/>
    <s v="Debit Card"/>
    <s v="Refund"/>
    <n v="730.12"/>
    <x v="2"/>
    <s v="Success"/>
    <s v="Completed"/>
    <n v="14.6"/>
    <n v="715.52"/>
    <s v="India"/>
  </r>
  <r>
    <x v="48"/>
    <s v="1/15/2025"/>
    <s v="23:58:05"/>
    <s v="CUST9007"/>
    <s v="MER342"/>
    <s v="Net Banking"/>
    <s v="Refund"/>
    <n v="4650.09"/>
    <x v="3"/>
    <s v="Failed"/>
    <s v="Card Expired"/>
    <n v="0"/>
    <n v="0"/>
    <s v="India"/>
  </r>
  <r>
    <x v="49"/>
    <s v="1/14/2025"/>
    <s v="12:21:16"/>
    <s v="CUST4509"/>
    <s v="MER327"/>
    <s v="Debit Card"/>
    <s v="Refund"/>
    <n v="3209.93"/>
    <x v="0"/>
    <s v="Failed"/>
    <s v="Insufficient Funds"/>
    <n v="0"/>
    <n v="0"/>
    <s v="Australia"/>
  </r>
  <r>
    <x v="50"/>
    <s v="1/5/2025"/>
    <s v="23:26:24"/>
    <s v="CUST1560"/>
    <s v="MER676"/>
    <s v="Credit Card"/>
    <s v="Refund"/>
    <n v="3849.15"/>
    <x v="2"/>
    <s v="Success"/>
    <s v="Completed"/>
    <n v="76.98"/>
    <n v="3772.17"/>
    <s v="USA"/>
  </r>
  <r>
    <x v="51"/>
    <s v="1/20/2025"/>
    <s v="15:59:13"/>
    <s v="CUST8415"/>
    <s v="MER769"/>
    <s v="Credit Card"/>
    <s v="Purchase"/>
    <n v="145.56"/>
    <x v="3"/>
    <s v="Success"/>
    <s v="Completed"/>
    <n v="2.91"/>
    <n v="142.65"/>
    <s v="USA"/>
  </r>
  <r>
    <x v="52"/>
    <s v="1/6/2025"/>
    <s v="23:58:11"/>
    <s v="CUST6061"/>
    <s v="MER949"/>
    <s v="Wallet"/>
    <s v="Subscription"/>
    <n v="2645.24"/>
    <x v="0"/>
    <s v="Failed"/>
    <s v="Card Expired"/>
    <n v="0"/>
    <n v="0"/>
    <s v="Australia"/>
  </r>
  <r>
    <x v="53"/>
    <s v="1/18/2025"/>
    <s v="15:14:00"/>
    <s v="CUST3027"/>
    <s v="MER341"/>
    <s v="Credit Card"/>
    <s v="Purchase"/>
    <n v="4790.95"/>
    <x v="2"/>
    <s v="Success"/>
    <s v="Completed"/>
    <n v="95.82"/>
    <n v="4695.13"/>
    <s v="Australia"/>
  </r>
  <r>
    <x v="54"/>
    <s v="1/19/2025"/>
    <s v="11:15:49"/>
    <s v="CUST3567"/>
    <s v="MER240"/>
    <s v="Credit Card"/>
    <s v="Purchase"/>
    <n v="297.3"/>
    <x v="4"/>
    <s v="Failed"/>
    <s v="Insufficient Funds"/>
    <n v="0"/>
    <n v="0"/>
    <s v="UK"/>
  </r>
  <r>
    <x v="55"/>
    <s v="1/15/2025"/>
    <s v="8:24:37"/>
    <s v="CUST1610"/>
    <s v="MER263"/>
    <s v="Wallet"/>
    <s v="Purchase"/>
    <n v="1428.65"/>
    <x v="0"/>
    <s v="Failed"/>
    <s v="Completed"/>
    <n v="0"/>
    <n v="0"/>
    <s v="USA"/>
  </r>
  <r>
    <x v="56"/>
    <s v="1/7/2025"/>
    <s v="21:44:12"/>
    <s v="CUST1159"/>
    <s v="MER366"/>
    <s v="Wallet"/>
    <s v="Subscription"/>
    <n v="3719.31"/>
    <x v="1"/>
    <s v="Failed"/>
    <s v="Insufficient Funds"/>
    <n v="0"/>
    <n v="0"/>
    <s v="India"/>
  </r>
  <r>
    <x v="57"/>
    <s v="1/16/2025"/>
    <s v="5:13:37"/>
    <s v="CUST5219"/>
    <s v="MER396"/>
    <s v="Net Banking"/>
    <s v="Purchase"/>
    <n v="3601.1"/>
    <x v="3"/>
    <s v="Success"/>
    <s v="Completed"/>
    <n v="72.02"/>
    <n v="3529.08"/>
    <s v="UK"/>
  </r>
  <r>
    <x v="58"/>
    <s v="1/29/2025"/>
    <s v="14:58:25"/>
    <s v="CUST6037"/>
    <s v="MER590"/>
    <s v="Credit Card"/>
    <s v="Refund"/>
    <n v="3281.14"/>
    <x v="2"/>
    <s v="Failed"/>
    <s v="Insufficient Funds"/>
    <n v="0"/>
    <n v="0"/>
    <s v="India"/>
  </r>
  <r>
    <x v="59"/>
    <s v="1/26/2025"/>
    <s v="9:16:53"/>
    <s v="CUST7032"/>
    <s v="MER702"/>
    <s v="UPI"/>
    <s v="Subscription"/>
    <n v="1669.54"/>
    <x v="4"/>
    <s v="Failed"/>
    <s v="Card Expired"/>
    <n v="0"/>
    <n v="0"/>
    <s v="India"/>
  </r>
  <r>
    <x v="60"/>
    <s v="1/2/2025"/>
    <s v="3:25:17"/>
    <s v="CUST3728"/>
    <s v="MER681"/>
    <s v="Debit Card"/>
    <s v="Refund"/>
    <n v="1160.6300000000001"/>
    <x v="4"/>
    <s v="Failed"/>
    <s v="Card Expired"/>
    <n v="0"/>
    <n v="0"/>
    <s v="Australia"/>
  </r>
  <r>
    <x v="61"/>
    <s v="1/28/2025"/>
    <s v="12:06:08"/>
    <s v="CUST8928"/>
    <s v="MER142"/>
    <s v="UPI"/>
    <s v="Refund"/>
    <n v="1120.8900000000001"/>
    <x v="2"/>
    <s v="Success"/>
    <s v="Completed"/>
    <n v="22.42"/>
    <n v="1098.47"/>
    <s v="Australia"/>
  </r>
  <r>
    <x v="62"/>
    <s v="1/12/2025"/>
    <s v="9:31:53"/>
    <s v="CUST1177"/>
    <s v="MER628"/>
    <s v="UPI"/>
    <s v="Subscription"/>
    <n v="1329.5"/>
    <x v="1"/>
    <s v="Failed"/>
    <s v="Insufficient Funds"/>
    <n v="0"/>
    <n v="0"/>
    <s v="UK"/>
  </r>
  <r>
    <x v="63"/>
    <s v="1/30/2025"/>
    <s v="8:33:24"/>
    <s v="CUST1097"/>
    <s v="MER821"/>
    <s v="Net Banking"/>
    <s v="Refund"/>
    <n v="3216.19"/>
    <x v="0"/>
    <s v="Success"/>
    <s v="Completed"/>
    <n v="64.319999999999993"/>
    <n v="3151.87"/>
    <s v="Australia"/>
  </r>
  <r>
    <x v="64"/>
    <s v="1/1/2025"/>
    <s v="2:12:45"/>
    <s v="CUST5015"/>
    <s v="MER429"/>
    <s v="Credit Card"/>
    <s v="Purchase"/>
    <n v="3005.94"/>
    <x v="2"/>
    <s v="Failed"/>
    <s v="Completed"/>
    <n v="0"/>
    <n v="0"/>
    <s v="India"/>
  </r>
  <r>
    <x v="65"/>
    <s v="1/3/2025"/>
    <s v="11:03:50"/>
    <s v="CUST9490"/>
    <s v="MER837"/>
    <s v="Net Banking"/>
    <s v="Purchase"/>
    <n v="3716.34"/>
    <x v="4"/>
    <s v="Success"/>
    <s v="Completed"/>
    <n v="74.33"/>
    <n v="3642.01"/>
    <s v="UK"/>
  </r>
  <r>
    <x v="66"/>
    <s v="1/14/2025"/>
    <s v="4:27:22"/>
    <s v="CUST4028"/>
    <s v="MER143"/>
    <s v="Wallet"/>
    <s v="Purchase"/>
    <n v="2905.35"/>
    <x v="1"/>
    <s v="Failed"/>
    <s v="Card Expired"/>
    <n v="0"/>
    <n v="0"/>
    <s v="Canada"/>
  </r>
  <r>
    <x v="67"/>
    <s v="1/26/2025"/>
    <s v="7:20:53"/>
    <s v="CUST3964"/>
    <s v="MER117"/>
    <s v="Wallet"/>
    <s v="Subscription"/>
    <n v="2920.18"/>
    <x v="0"/>
    <s v="Success"/>
    <s v="Completed"/>
    <n v="58.4"/>
    <n v="2861.78"/>
    <s v="USA"/>
  </r>
  <r>
    <x v="68"/>
    <s v="1/14/2025"/>
    <s v="0:29:49"/>
    <s v="CUST4674"/>
    <s v="MER839"/>
    <s v="UPI"/>
    <s v="Purchase"/>
    <n v="1150.1400000000001"/>
    <x v="2"/>
    <s v="Failed"/>
    <s v="Card Expired"/>
    <n v="0"/>
    <n v="0"/>
    <s v="India"/>
  </r>
  <r>
    <x v="69"/>
    <s v="1/3/2025"/>
    <s v="2:14:51"/>
    <s v="CUST6364"/>
    <s v="MER733"/>
    <s v="Wallet"/>
    <s v="Subscription"/>
    <n v="1350.42"/>
    <x v="4"/>
    <s v="Success"/>
    <s v="Completed"/>
    <n v="27.01"/>
    <n v="1323.41"/>
    <s v="USA"/>
  </r>
  <r>
    <x v="70"/>
    <s v="1/20/2025"/>
    <s v="11:23:13"/>
    <s v="CUST4437"/>
    <s v="MER526"/>
    <s v="Debit Card"/>
    <s v="Purchase"/>
    <n v="4682.4799999999996"/>
    <x v="4"/>
    <s v="Success"/>
    <s v="Completed"/>
    <n v="93.65"/>
    <n v="4588.83"/>
    <s v="UK"/>
  </r>
  <r>
    <x v="71"/>
    <s v="1/20/2025"/>
    <s v="11:49:21"/>
    <s v="CUST7592"/>
    <s v="MER395"/>
    <s v="Net Banking"/>
    <s v="Purchase"/>
    <n v="284.18"/>
    <x v="0"/>
    <s v="Failed"/>
    <s v="Completed"/>
    <n v="0"/>
    <n v="0"/>
    <s v="Australia"/>
  </r>
  <r>
    <x v="72"/>
    <s v="1/5/2025"/>
    <s v="9:34:25"/>
    <s v="CUST1198"/>
    <s v="MER906"/>
    <s v="Wallet"/>
    <s v="Purchase"/>
    <n v="4143.62"/>
    <x v="2"/>
    <s v="Failed"/>
    <s v="Card Expired"/>
    <n v="0"/>
    <n v="0"/>
    <s v="India"/>
  </r>
  <r>
    <x v="73"/>
    <s v="1/20/2025"/>
    <s v="22:40:33"/>
    <s v="CUST4604"/>
    <s v="MER914"/>
    <s v="Credit Card"/>
    <s v="Refund"/>
    <n v="405.04"/>
    <x v="2"/>
    <s v="Failed"/>
    <s v="Invalid PIN"/>
    <n v="0"/>
    <n v="0"/>
    <s v="UK"/>
  </r>
  <r>
    <x v="74"/>
    <s v="1/8/2025"/>
    <s v="19:02:12"/>
    <s v="CUST3959"/>
    <s v="MER184"/>
    <s v="Credit Card"/>
    <s v="Subscription"/>
    <n v="226.51"/>
    <x v="0"/>
    <s v="Success"/>
    <s v="Completed"/>
    <n v="4.53"/>
    <n v="221.98"/>
    <s v="India"/>
  </r>
  <r>
    <x v="75"/>
    <s v="1/11/2025"/>
    <s v="13:59:57"/>
    <s v="CUST1986"/>
    <s v="MER165"/>
    <s v="Net Banking"/>
    <s v="Purchase"/>
    <n v="1414.17"/>
    <x v="0"/>
    <s v="Success"/>
    <s v="Completed"/>
    <n v="28.28"/>
    <n v="1385.89"/>
    <s v="Canada"/>
  </r>
  <r>
    <x v="76"/>
    <s v="1/11/2025"/>
    <s v="11:01:15"/>
    <s v="CUST1344"/>
    <s v="MER661"/>
    <s v="Wallet"/>
    <s v="Refund"/>
    <n v="4164.8"/>
    <x v="1"/>
    <s v="Success"/>
    <s v="Completed"/>
    <n v="83.3"/>
    <n v="4081.5"/>
    <s v="Australia"/>
  </r>
  <r>
    <x v="77"/>
    <s v="1/10/2025"/>
    <s v="8:55:07"/>
    <s v="CUST4127"/>
    <s v="MER426"/>
    <s v="Wallet"/>
    <s v="Refund"/>
    <n v="923.44"/>
    <x v="1"/>
    <s v="Failed"/>
    <s v="Completed"/>
    <n v="0"/>
    <n v="0"/>
    <s v="USA"/>
  </r>
  <r>
    <x v="78"/>
    <s v="1/16/2025"/>
    <s v="11:03:33"/>
    <s v="CUST3634"/>
    <s v="MER167"/>
    <s v="Debit Card"/>
    <s v="Refund"/>
    <n v="3585.36"/>
    <x v="1"/>
    <s v="Failed"/>
    <s v="Completed"/>
    <n v="0"/>
    <n v="0"/>
    <s v="India"/>
  </r>
  <r>
    <x v="79"/>
    <s v="1/20/2025"/>
    <s v="19:00:28"/>
    <s v="CUST4051"/>
    <s v="MER731"/>
    <s v="UPI"/>
    <s v="Subscription"/>
    <n v="332.55"/>
    <x v="3"/>
    <s v="Failed"/>
    <s v="Completed"/>
    <n v="0"/>
    <n v="0"/>
    <s v="Australia"/>
  </r>
  <r>
    <x v="80"/>
    <s v="1/5/2025"/>
    <s v="13:51:03"/>
    <s v="CUST6551"/>
    <s v="MER395"/>
    <s v="Credit Card"/>
    <s v="Refund"/>
    <n v="4215.55"/>
    <x v="0"/>
    <s v="Failed"/>
    <s v="Invalid PIN"/>
    <n v="0"/>
    <n v="0"/>
    <s v="USA"/>
  </r>
  <r>
    <x v="81"/>
    <s v="1/11/2025"/>
    <s v="13:43:31"/>
    <s v="CUST5590"/>
    <s v="MER312"/>
    <s v="Net Banking"/>
    <s v="Refund"/>
    <n v="3386.76"/>
    <x v="4"/>
    <s v="Failed"/>
    <s v="Card Expired"/>
    <n v="0"/>
    <n v="0"/>
    <s v="USA"/>
  </r>
  <r>
    <x v="82"/>
    <s v="1/6/2025"/>
    <s v="21:38:20"/>
    <s v="CUST8982"/>
    <s v="MER104"/>
    <s v="Credit Card"/>
    <s v="Refund"/>
    <n v="3307"/>
    <x v="1"/>
    <s v="Failed"/>
    <s v="Insufficient Funds"/>
    <n v="0"/>
    <n v="0"/>
    <s v="India"/>
  </r>
  <r>
    <x v="83"/>
    <s v="1/13/2025"/>
    <s v="7:42:05"/>
    <s v="CUST8445"/>
    <s v="MER698"/>
    <s v="Credit Card"/>
    <s v="Purchase"/>
    <n v="1946.68"/>
    <x v="1"/>
    <s v="Success"/>
    <s v="Completed"/>
    <n v="38.93"/>
    <n v="1907.75"/>
    <s v="Australia"/>
  </r>
  <r>
    <x v="84"/>
    <s v="1/11/2025"/>
    <s v="6:08:01"/>
    <s v="CUST6819"/>
    <s v="MER860"/>
    <s v="UPI"/>
    <s v="Purchase"/>
    <n v="3141.59"/>
    <x v="3"/>
    <s v="Failed"/>
    <s v="Invalid PIN"/>
    <n v="0"/>
    <n v="0"/>
    <s v="Australia"/>
  </r>
  <r>
    <x v="85"/>
    <s v="1/14/2025"/>
    <s v="0:08:25"/>
    <s v="CUST5604"/>
    <s v="MER539"/>
    <s v="UPI"/>
    <s v="Purchase"/>
    <n v="1830.94"/>
    <x v="4"/>
    <s v="Success"/>
    <s v="Completed"/>
    <n v="36.619999999999997"/>
    <n v="1794.32"/>
    <s v="Australia"/>
  </r>
  <r>
    <x v="86"/>
    <s v="1/31/2025"/>
    <s v="14:01:58"/>
    <s v="CUST9246"/>
    <s v="MER336"/>
    <s v="UPI"/>
    <s v="Refund"/>
    <n v="4768.07"/>
    <x v="2"/>
    <s v="Success"/>
    <s v="Completed"/>
    <n v="95.36"/>
    <n v="4672.71"/>
    <s v="Australia"/>
  </r>
  <r>
    <x v="87"/>
    <s v="1/30/2025"/>
    <s v="4:04:43"/>
    <s v="CUST9828"/>
    <s v="MER370"/>
    <s v="Net Banking"/>
    <s v="Refund"/>
    <n v="3189.18"/>
    <x v="1"/>
    <s v="Success"/>
    <s v="Completed"/>
    <n v="63.78"/>
    <n v="3125.4"/>
    <s v="USA"/>
  </r>
  <r>
    <x v="88"/>
    <s v="1/11/2025"/>
    <s v="13:37:42"/>
    <s v="CUST6277"/>
    <s v="MER293"/>
    <s v="Wallet"/>
    <s v="Refund"/>
    <n v="2314.25"/>
    <x v="4"/>
    <s v="Failed"/>
    <s v="Network Error"/>
    <n v="0"/>
    <n v="0"/>
    <s v="Australia"/>
  </r>
  <r>
    <x v="89"/>
    <s v="1/3/2025"/>
    <s v="18:33:46"/>
    <s v="CUST7059"/>
    <s v="MER934"/>
    <s v="Wallet"/>
    <s v="Subscription"/>
    <n v="1940.52"/>
    <x v="2"/>
    <s v="Failed"/>
    <s v="Network Error"/>
    <n v="0"/>
    <n v="0"/>
    <s v="India"/>
  </r>
  <r>
    <x v="90"/>
    <s v="1/7/2025"/>
    <s v="21:38:43"/>
    <s v="CUST7183"/>
    <s v="MER205"/>
    <s v="Net Banking"/>
    <s v="Refund"/>
    <n v="2454.9699999999998"/>
    <x v="4"/>
    <s v="Failed"/>
    <s v="Card Expired"/>
    <n v="0"/>
    <n v="0"/>
    <s v="USA"/>
  </r>
  <r>
    <x v="91"/>
    <s v="1/25/2025"/>
    <s v="23:01:47"/>
    <s v="CUST4543"/>
    <s v="MER960"/>
    <s v="UPI"/>
    <s v="Subscription"/>
    <n v="4548.04"/>
    <x v="2"/>
    <s v="Success"/>
    <s v="Completed"/>
    <n v="90.96"/>
    <n v="4457.08"/>
    <s v="UK"/>
  </r>
  <r>
    <x v="92"/>
    <s v="1/7/2025"/>
    <s v="2:31:43"/>
    <s v="CUST1682"/>
    <s v="MER638"/>
    <s v="Credit Card"/>
    <s v="Purchase"/>
    <n v="4750.95"/>
    <x v="4"/>
    <s v="Success"/>
    <s v="Completed"/>
    <n v="95.02"/>
    <n v="4655.93"/>
    <s v="India"/>
  </r>
  <r>
    <x v="93"/>
    <s v="1/9/2025"/>
    <s v="8:29:35"/>
    <s v="CUST1477"/>
    <s v="MER652"/>
    <s v="Credit Card"/>
    <s v="Refund"/>
    <n v="839.69"/>
    <x v="3"/>
    <s v="Failed"/>
    <s v="Invalid PIN"/>
    <n v="0"/>
    <n v="0"/>
    <s v="UK"/>
  </r>
  <r>
    <x v="94"/>
    <s v="1/28/2025"/>
    <s v="8:26:57"/>
    <s v="CUST3544"/>
    <s v="MER136"/>
    <s v="Credit Card"/>
    <s v="Refund"/>
    <n v="4733.71"/>
    <x v="0"/>
    <s v="Success"/>
    <s v="Completed"/>
    <n v="94.67"/>
    <n v="4639.04"/>
    <s v="Australia"/>
  </r>
  <r>
    <x v="95"/>
    <s v="1/23/2025"/>
    <s v="11:51:20"/>
    <s v="CUST3952"/>
    <s v="MER160"/>
    <s v="Wallet"/>
    <s v="Purchase"/>
    <n v="983.95"/>
    <x v="4"/>
    <s v="Failed"/>
    <s v="Completed"/>
    <n v="0"/>
    <n v="0"/>
    <s v="USA"/>
  </r>
  <r>
    <x v="96"/>
    <s v="1/12/2025"/>
    <s v="8:30:33"/>
    <s v="CUST4239"/>
    <s v="MER686"/>
    <s v="UPI"/>
    <s v="Purchase"/>
    <n v="2306.11"/>
    <x v="0"/>
    <s v="Failed"/>
    <s v="Network Error"/>
    <n v="0"/>
    <n v="0"/>
    <s v="Australia"/>
  </r>
  <r>
    <x v="97"/>
    <s v="1/3/2025"/>
    <s v="0:15:21"/>
    <s v="CUST4006"/>
    <s v="MER365"/>
    <s v="Debit Card"/>
    <s v="Refund"/>
    <n v="3902.86"/>
    <x v="0"/>
    <s v="Failed"/>
    <s v="Card Expired"/>
    <n v="0"/>
    <n v="0"/>
    <s v="Canada"/>
  </r>
  <r>
    <x v="98"/>
    <s v="1/19/2025"/>
    <s v="0:31:49"/>
    <s v="CUST5449"/>
    <s v="MER477"/>
    <s v="Debit Card"/>
    <s v="Purchase"/>
    <n v="2455.27"/>
    <x v="4"/>
    <s v="Failed"/>
    <s v="Invalid PIN"/>
    <n v="0"/>
    <n v="0"/>
    <s v="Canada"/>
  </r>
  <r>
    <x v="99"/>
    <s v="1/23/2025"/>
    <s v="8:54:38"/>
    <s v="CUST4036"/>
    <s v="MER207"/>
    <s v="Net Banking"/>
    <s v="Purchase"/>
    <n v="4721.8599999999997"/>
    <x v="3"/>
    <s v="Success"/>
    <s v="Completed"/>
    <n v="94.44"/>
    <n v="4627.42"/>
    <s v="Ind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D1BB2-1043-4ECD-AE9D-1D77148AA235}" name="PivotTable114" cacheId="29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45:B50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3"/>
        <item x="1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CE1DE-2421-4F91-9BCC-66995B1EA9CA}" name="PivotTable68" cacheId="29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24:B29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4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latform_Fe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1B107-3C43-46DB-BFC8-DAA03C90DDA2}" name="PivotTable45" cacheId="29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O3:P8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187AC-F03D-44E9-A07F-0E898B5C0FBC}" name="PivotTable22" cacheId="29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8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latform_Fe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05B6B-08DA-4D6C-ABA2-B4E7509199A1}" name="PivotTable219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7:I33" firstHeaderRow="1" firstDataRow="1" firstDataCol="1"/>
  <pivotFields count="1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sd="0" x="3"/>
        <item sd="0" x="4"/>
        <item sd="0" x="2"/>
        <item sd="0" x="0"/>
        <item sd="0" x="1"/>
        <item t="default" sd="0"/>
      </items>
    </pivotField>
    <pivotField showAll="0"/>
    <pivotField showAll="0"/>
    <pivotField showAll="0"/>
    <pivotField showAll="0"/>
    <pivotField showAll="0"/>
  </pivotFields>
  <rowFields count="2">
    <field x="8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C003E-6667-4447-A736-EE6979688540}" name="PivotTable215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D31" firstHeaderRow="0" firstDataRow="1" firstDataCol="1"/>
  <pivotFields count="14">
    <pivotField dataField="1" showAll="0"/>
    <pivotField showAll="0"/>
    <pivotField axis="axisRow" showAll="0">
      <items count="101">
        <item x="85"/>
        <item x="97"/>
        <item x="68"/>
        <item x="98"/>
        <item x="12"/>
        <item x="0"/>
        <item x="23"/>
        <item x="40"/>
        <item x="43"/>
        <item x="76"/>
        <item x="78"/>
        <item x="65"/>
        <item x="54"/>
        <item x="70"/>
        <item x="5"/>
        <item x="71"/>
        <item x="95"/>
        <item x="61"/>
        <item x="18"/>
        <item x="49"/>
        <item x="33"/>
        <item x="28"/>
        <item x="88"/>
        <item x="81"/>
        <item x="80"/>
        <item x="31"/>
        <item x="75"/>
        <item x="86"/>
        <item x="58"/>
        <item x="32"/>
        <item x="53"/>
        <item x="1"/>
        <item x="36"/>
        <item x="8"/>
        <item x="51"/>
        <item x="26"/>
        <item x="38"/>
        <item x="20"/>
        <item x="30"/>
        <item x="3"/>
        <item x="6"/>
        <item x="89"/>
        <item x="79"/>
        <item x="74"/>
        <item x="21"/>
        <item x="24"/>
        <item x="41"/>
        <item x="9"/>
        <item x="64"/>
        <item x="69"/>
        <item x="47"/>
        <item x="92"/>
        <item x="2"/>
        <item x="82"/>
        <item x="90"/>
        <item x="56"/>
        <item x="73"/>
        <item x="37"/>
        <item x="91"/>
        <item x="50"/>
        <item x="48"/>
        <item x="52"/>
        <item x="60"/>
        <item x="13"/>
        <item x="19"/>
        <item x="87"/>
        <item x="14"/>
        <item x="66"/>
        <item x="35"/>
        <item x="42"/>
        <item x="15"/>
        <item x="34"/>
        <item x="16"/>
        <item x="57"/>
        <item x="84"/>
        <item x="45"/>
        <item x="46"/>
        <item x="22"/>
        <item x="27"/>
        <item x="44"/>
        <item x="39"/>
        <item x="67"/>
        <item x="83"/>
        <item x="17"/>
        <item x="10"/>
        <item x="25"/>
        <item x="29"/>
        <item x="55"/>
        <item x="94"/>
        <item x="93"/>
        <item x="96"/>
        <item x="63"/>
        <item x="4"/>
        <item x="7"/>
        <item x="99"/>
        <item x="77"/>
        <item x="11"/>
        <item x="59"/>
        <item x="62"/>
        <item x="72"/>
        <item t="default"/>
      </items>
    </pivotField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  <pivotField dataField="1" showAll="0"/>
    <pivotField showAll="0"/>
    <pivotField showAll="0"/>
    <pivotField showAll="0"/>
    <pivotField dataField="1" showAll="0"/>
    <pivotField showAll="0"/>
    <pivotField showAll="0"/>
  </pivotFields>
  <rowFields count="2">
    <field x="6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latform_Fee" fld="11" baseField="0" baseItem="0"/>
    <dataField name="Sum of Amount" fld="7" baseField="0" baseItem="0"/>
    <dataField name="Count of Transaction_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C47CF-CCF6-4D84-A77F-EBD0B558E97B}" name="PivotTable211" cacheId="2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K22" firstHeaderRow="0" firstDataRow="1" firstDataCol="1"/>
  <pivotFields count="1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axis="axisRow" showAll="0">
      <items count="6">
        <item sd="0" x="4"/>
        <item sd="0" x="0"/>
        <item sd="0" x="3"/>
        <item sd="0" x="1"/>
        <item sd="0" x="2"/>
        <item t="default" sd="0"/>
      </items>
    </pivotField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</pivotFields>
  <rowFields count="2">
    <field x="5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erchant_Payable" fld="12" baseField="0" baseItem="0"/>
    <dataField name="Sum of Platform_Fee" fld="11" baseField="0" baseItem="0"/>
    <dataField name="Sum of Amount" fld="7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B16A7-1B1C-4C5B-B297-AAF6D2882801}" name="PivotTable207" cacheId="2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2" firstHeaderRow="0" firstDataRow="1" firstDataCol="1"/>
  <pivotFields count="14">
    <pivotField dataField="1" showAll="0"/>
    <pivotField showAll="0"/>
    <pivotField axis="axisRow" showAll="0">
      <items count="101">
        <item x="85"/>
        <item x="97"/>
        <item x="68"/>
        <item x="98"/>
        <item x="12"/>
        <item x="0"/>
        <item x="23"/>
        <item x="40"/>
        <item x="43"/>
        <item x="76"/>
        <item x="78"/>
        <item x="65"/>
        <item x="54"/>
        <item x="70"/>
        <item x="5"/>
        <item x="71"/>
        <item x="95"/>
        <item x="61"/>
        <item x="18"/>
        <item x="49"/>
        <item x="33"/>
        <item x="28"/>
        <item x="88"/>
        <item x="81"/>
        <item x="80"/>
        <item x="31"/>
        <item x="75"/>
        <item x="86"/>
        <item x="58"/>
        <item x="32"/>
        <item x="53"/>
        <item x="1"/>
        <item x="36"/>
        <item x="8"/>
        <item x="51"/>
        <item x="26"/>
        <item x="38"/>
        <item x="20"/>
        <item x="30"/>
        <item x="3"/>
        <item x="6"/>
        <item x="89"/>
        <item x="79"/>
        <item x="74"/>
        <item x="21"/>
        <item x="24"/>
        <item x="41"/>
        <item x="9"/>
        <item x="64"/>
        <item x="69"/>
        <item x="47"/>
        <item x="92"/>
        <item x="2"/>
        <item x="82"/>
        <item x="90"/>
        <item x="56"/>
        <item x="73"/>
        <item x="37"/>
        <item x="91"/>
        <item x="50"/>
        <item x="48"/>
        <item x="52"/>
        <item x="60"/>
        <item x="13"/>
        <item x="19"/>
        <item x="87"/>
        <item x="14"/>
        <item x="66"/>
        <item x="35"/>
        <item x="42"/>
        <item x="15"/>
        <item x="34"/>
        <item x="16"/>
        <item x="57"/>
        <item x="84"/>
        <item x="45"/>
        <item x="46"/>
        <item x="22"/>
        <item x="27"/>
        <item x="44"/>
        <item x="39"/>
        <item x="67"/>
        <item x="83"/>
        <item x="17"/>
        <item x="10"/>
        <item x="25"/>
        <item x="29"/>
        <item x="55"/>
        <item x="94"/>
        <item x="93"/>
        <item x="96"/>
        <item x="63"/>
        <item x="4"/>
        <item x="7"/>
        <item x="99"/>
        <item x="77"/>
        <item x="11"/>
        <item x="59"/>
        <item x="62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6">
        <item sd="0" x="1"/>
        <item sd="0" x="2"/>
        <item sd="0" x="4"/>
        <item sd="0" x="3"/>
        <item sd="0" x="0"/>
        <item t="default" sd="0"/>
      </items>
    </pivotField>
  </pivotFields>
  <rowFields count="2">
    <field x="13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erchant_Payable" fld="12" baseField="0" baseItem="0"/>
    <dataField name="Sum of Platform_Fee" fld="11" baseField="0" baseItem="0"/>
    <dataField name="Count of Transaction_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ACD07-9320-4FA9-BD19-E0334BC302D8}" name="PivotTable204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1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CA2D5-5983-43CB-A10C-A50C9FEECF81}" name="PivotTable203" cacheId="2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latform_Fee" fld="11" baseField="0" baseItem="0"/>
  </dataFields>
  <formats count="1">
    <format dxfId="0">
      <pivotArea dataOnly="0" labelOnly="1" fieldPosition="0">
        <references count="1">
          <reference field="13" count="1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8F87F-7538-49AB-B687-C862AFC2950A}" name="Table10" displayName="Table10" ref="V10:W14" totalsRowShown="0">
  <autoFilter ref="V10:W14" xr:uid="{CA38F87F-7538-49AB-B687-C862AFC2950A}"/>
  <tableColumns count="2">
    <tableColumn id="1" xr3:uid="{7376553D-2E2B-4E9A-9CAA-693E3AE6BAE0}" name="PROFIT &amp; LOSS STATEMENT"/>
    <tableColumn id="2" xr3:uid="{5306B45B-6357-4BC3-A468-1384CDE9B699}" name="Column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1163CC-82A8-45E6-BAC7-0C54A0BF8BAD}" name="Table11" displayName="Table11" ref="V17:W20" totalsRowShown="0">
  <autoFilter ref="V17:W20" xr:uid="{2A1163CC-82A8-45E6-BAC7-0C54A0BF8BAD}"/>
  <tableColumns count="2">
    <tableColumn id="1" xr3:uid="{B4A05065-D067-4F88-A838-6F07E0A6A210}" name="BALANCE SHEET"/>
    <tableColumn id="2" xr3:uid="{47E52FCD-EFDC-4E80-8C4D-6E776F3C6150}" name="Column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31C9C1-7931-4E23-AAEB-368E2D711D49}" name="Table12" displayName="Table12" ref="V23:W25" totalsRowShown="0">
  <autoFilter ref="V23:W25" xr:uid="{2331C9C1-7931-4E23-AAEB-368E2D711D49}"/>
  <tableColumns count="2">
    <tableColumn id="1" xr3:uid="{6D873147-638B-4A86-A092-74370E409FFE}" name="Liabilities"/>
    <tableColumn id="2" xr3:uid="{0BFD87E5-CF68-4591-86EB-70A6B4520A99}" name="Column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F0A4F-069D-4B80-ACEF-1BE49D463DE1}" name="Table13" displayName="Table13" ref="V27:W29" totalsRowShown="0">
  <autoFilter ref="V27:W29" xr:uid="{523F0A4F-069D-4B80-ACEF-1BE49D463DE1}"/>
  <tableColumns count="2">
    <tableColumn id="1" xr3:uid="{17829953-4109-4F5E-935A-67E314C01023}" name="Equity"/>
    <tableColumn id="2" xr3:uid="{3DB3B8E7-F7D2-4F26-9357-A4A5353CC48E}" name="Column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AA050D-BDF8-49AF-8B8A-D9129CD3D8FD}" name="Table14" displayName="Table14" ref="V32:W34" totalsRowShown="0">
  <autoFilter ref="V32:W34" xr:uid="{E6AA050D-BDF8-49AF-8B8A-D9129CD3D8FD}"/>
  <tableColumns count="2">
    <tableColumn id="1" xr3:uid="{848DE778-61B8-422B-A4DE-7E95B859DDF1}" name="Balanced:" dataDxfId="4">
      <calculatedColumnFormula>2%*126042.41</calculatedColumnFormula>
    </tableColumn>
    <tableColumn id="2" xr3:uid="{F72F94D6-3FCF-4C90-A85A-865326E12F66}" name="Column1" dataDxfId="3">
      <calculatedColumnFormula>2%*126042.41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BFF994-3737-4A6C-8AC9-EC63BD927690}" name="Table16" displayName="Table16" ref="V37:W42" totalsRowShown="0">
  <autoFilter ref="V37:W42" xr:uid="{96BFF994-3737-4A6C-8AC9-EC63BD927690}"/>
  <tableColumns count="2">
    <tableColumn id="1" xr3:uid="{513D034F-515E-4BE6-8AAA-57A108CDF950}" name="CASH FLOW STATEMENT"/>
    <tableColumn id="2" xr3:uid="{64DBD5C2-9D1A-48BC-B124-0ECA8E6B2546}" name="Column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368057-475D-4FD1-960C-B179526C81CA}" name="Table17" displayName="Table17" ref="V45:W49" totalsRowShown="0">
  <autoFilter ref="V45:W49" xr:uid="{2F368057-475D-4FD1-960C-B179526C81CA}"/>
  <tableColumns count="2">
    <tableColumn id="1" xr3:uid="{126CC306-19E0-46E7-B58D-5065E12A5F3B}" name="Successful Transaction Value"/>
    <tableColumn id="2" xr3:uid="{3B38C1AB-1131-48C7-93CE-43F6C41C54A6}" name="Column1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111E31-B783-4109-9EDD-67361BEAF6C3}" name="Table9" displayName="Table9" ref="A1:N101" totalsRowShown="0">
  <autoFilter ref="A1:N101" xr:uid="{E4111E31-B783-4109-9EDD-67361BEAF6C3}"/>
  <tableColumns count="14">
    <tableColumn id="1" xr3:uid="{B06E40AA-A408-42D6-A045-9C49E7A25ED2}" name="Transaction_ID"/>
    <tableColumn id="2" xr3:uid="{6115E156-5E49-456D-8EAC-0B83B48C5A9E}" name="Transaction_Date" dataDxfId="2"/>
    <tableColumn id="3" xr3:uid="{59B4FAF4-672E-4AA0-BF6A-9D1C8C80486C}" name="Transaction_Time" dataDxfId="1"/>
    <tableColumn id="4" xr3:uid="{3803AE89-E1B7-42DC-B510-C50C343D900A}" name="Customer_ID"/>
    <tableColumn id="5" xr3:uid="{3527C43D-C006-4358-9373-5EFFB90C44F3}" name="Merchant_ID"/>
    <tableColumn id="6" xr3:uid="{1BEB595F-C763-4F68-A0EA-89C5DAB05FD9}" name="Payment_Method"/>
    <tableColumn id="7" xr3:uid="{A58DDF14-CA9D-4F6A-B6B0-D0E29C0FEE52}" name="Transaction_Type"/>
    <tableColumn id="8" xr3:uid="{98526C44-865C-4F66-8A0D-136EE6D6B17A}" name="Amount"/>
    <tableColumn id="9" xr3:uid="{00B4B75A-57E8-4F4A-A1D8-2B83438D223B}" name="Currency"/>
    <tableColumn id="10" xr3:uid="{EE1235B7-F6E3-4461-A73E-A09B390E0838}" name="Status"/>
    <tableColumn id="11" xr3:uid="{15B777F1-F2AD-486C-83B1-F05DA7D5DC7A}" name="Failure_Reason"/>
    <tableColumn id="12" xr3:uid="{838BCABA-579A-400F-A3A0-A2FE1EB0B30D}" name="Platform_Fee"/>
    <tableColumn id="13" xr3:uid="{4592B1AA-6F75-4CC3-A4F2-E716D6B452C5}" name="Merchant_Payable"/>
    <tableColumn id="14" xr3:uid="{B832C59E-9BE6-4B4A-A973-9E5E85FCC795}" name="Country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4A784E-3AF7-48F0-8988-E67AC4BD11C7}" name="Table15" displayName="Table15" ref="Q9:R14" totalsRowShown="0">
  <autoFilter ref="Q9:R14" xr:uid="{DD4A784E-3AF7-48F0-8988-E67AC4BD11C7}"/>
  <tableColumns count="2">
    <tableColumn id="1" xr3:uid="{7FE7C3FA-3410-43B8-B423-261C5E337DB2}" name="KPI"/>
    <tableColumn id="2" xr3:uid="{A27F918D-DC9D-41F3-8901-5814AB470E9A}" name="Column1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AB21F4-087C-4060-8F84-7004449D5F63}" name="Table18" displayName="Table18" ref="Q18:R23" totalsRowShown="0">
  <autoFilter ref="Q18:R23" xr:uid="{EEAB21F4-087C-4060-8F84-7004449D5F63}"/>
  <tableColumns count="2">
    <tableColumn id="1" xr3:uid="{6DFEFB14-6101-4853-A982-B579D4B120B6}" name="Revenue by Payment Method"/>
    <tableColumn id="2" xr3:uid="{F36A539B-6629-4CC4-AD79-E4AD6C28F88D}" name="Column1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04FD94-A950-4449-9553-C613F963A656}" name="Table19" displayName="Table19" ref="Q25:R29" totalsRowShown="0">
  <autoFilter ref="Q25:R29" xr:uid="{FD04FD94-A950-4449-9553-C613F963A656}"/>
  <tableColumns count="2">
    <tableColumn id="1" xr3:uid="{00B70028-B2E0-45D6-AAF8-CE0542E22034}" name="Failure Analysis"/>
    <tableColumn id="2" xr3:uid="{6FC789C3-4DD3-47BA-B52F-A8417A0A3B7C}" name="Column1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994D4-141E-496F-9E61-F8600417DDBF}" name="Table1" displayName="Table1" ref="V3:X7" totalsRowShown="0">
  <autoFilter ref="V3:X7" xr:uid="{E44994D4-141E-496F-9E61-F8600417DDBF}"/>
  <tableColumns count="3">
    <tableColumn id="1" xr3:uid="{3D337FAD-D73A-43A2-8065-4F79ED23A26B}" name="Journal Entries"/>
    <tableColumn id="2" xr3:uid="{8670EA05-4280-44CF-BAE8-0706D16675DE}" name="Column1"/>
    <tableColumn id="3" xr3:uid="{3C26EC30-CC73-4571-A1AE-4C1575F5E84E}" name="Column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33E4-56C9-412E-930E-7D8872923709}">
  <dimension ref="A3:P50"/>
  <sheetViews>
    <sheetView topLeftCell="A21" workbookViewId="0">
      <selection activeCell="P87" sqref="P87"/>
    </sheetView>
  </sheetViews>
  <sheetFormatPr defaultRowHeight="13.2" x14ac:dyDescent="0.25"/>
  <cols>
    <col min="1" max="1" width="10.33203125" bestFit="1" customWidth="1"/>
    <col min="2" max="2" width="19.33203125" bestFit="1" customWidth="1"/>
    <col min="16" max="16" width="16" customWidth="1"/>
  </cols>
  <sheetData>
    <row r="3" spans="1:16" x14ac:dyDescent="0.25">
      <c r="A3" s="9" t="s">
        <v>13</v>
      </c>
      <c r="B3" t="s">
        <v>499</v>
      </c>
      <c r="O3" s="9" t="s">
        <v>13</v>
      </c>
      <c r="P3" t="s">
        <v>498</v>
      </c>
    </row>
    <row r="4" spans="1:16" x14ac:dyDescent="0.25">
      <c r="A4" t="s">
        <v>40</v>
      </c>
      <c r="B4">
        <v>773.47</v>
      </c>
      <c r="O4" t="s">
        <v>40</v>
      </c>
      <c r="P4">
        <v>81389.75</v>
      </c>
    </row>
    <row r="5" spans="1:16" x14ac:dyDescent="0.25">
      <c r="A5" t="s">
        <v>50</v>
      </c>
      <c r="B5">
        <v>374.59999999999991</v>
      </c>
      <c r="O5" t="s">
        <v>50</v>
      </c>
      <c r="P5">
        <v>39935.499999999993</v>
      </c>
    </row>
    <row r="6" spans="1:16" x14ac:dyDescent="0.25">
      <c r="A6" t="s">
        <v>99</v>
      </c>
      <c r="B6">
        <v>343.05</v>
      </c>
      <c r="O6" t="s">
        <v>99</v>
      </c>
      <c r="P6">
        <v>52467.21</v>
      </c>
    </row>
    <row r="7" spans="1:16" x14ac:dyDescent="0.25">
      <c r="A7" t="s">
        <v>62</v>
      </c>
      <c r="B7">
        <v>497.2</v>
      </c>
      <c r="O7" t="s">
        <v>62</v>
      </c>
      <c r="P7">
        <v>31117.62</v>
      </c>
    </row>
    <row r="8" spans="1:16" x14ac:dyDescent="0.25">
      <c r="A8" t="s">
        <v>24</v>
      </c>
      <c r="B8">
        <v>532.52</v>
      </c>
      <c r="O8" t="s">
        <v>24</v>
      </c>
      <c r="P8">
        <v>56785.08</v>
      </c>
    </row>
    <row r="24" spans="1:2" x14ac:dyDescent="0.25">
      <c r="A24" s="9" t="s">
        <v>8</v>
      </c>
      <c r="B24" t="s">
        <v>499</v>
      </c>
    </row>
    <row r="25" spans="1:2" x14ac:dyDescent="0.25">
      <c r="A25" t="s">
        <v>98</v>
      </c>
      <c r="B25">
        <v>337.8</v>
      </c>
    </row>
    <row r="26" spans="1:2" x14ac:dyDescent="0.25">
      <c r="A26" t="s">
        <v>104</v>
      </c>
      <c r="B26">
        <v>688.77</v>
      </c>
    </row>
    <row r="27" spans="1:2" x14ac:dyDescent="0.25">
      <c r="A27" t="s">
        <v>81</v>
      </c>
      <c r="B27">
        <v>558.34</v>
      </c>
    </row>
    <row r="28" spans="1:2" x14ac:dyDescent="0.25">
      <c r="A28" t="s">
        <v>21</v>
      </c>
      <c r="B28">
        <v>541.12999999999988</v>
      </c>
    </row>
    <row r="29" spans="1:2" x14ac:dyDescent="0.25">
      <c r="A29" t="s">
        <v>31</v>
      </c>
      <c r="B29">
        <v>394.79999999999995</v>
      </c>
    </row>
    <row r="45" spans="1:2" x14ac:dyDescent="0.25">
      <c r="A45" s="9" t="s">
        <v>10</v>
      </c>
      <c r="B45" t="s">
        <v>498</v>
      </c>
    </row>
    <row r="46" spans="1:2" x14ac:dyDescent="0.25">
      <c r="A46" t="s">
        <v>39</v>
      </c>
      <c r="B46">
        <v>41889.26</v>
      </c>
    </row>
    <row r="47" spans="1:2" x14ac:dyDescent="0.25">
      <c r="A47" t="s">
        <v>49</v>
      </c>
      <c r="B47">
        <v>155045.24999999994</v>
      </c>
    </row>
    <row r="48" spans="1:2" x14ac:dyDescent="0.25">
      <c r="A48" t="s">
        <v>32</v>
      </c>
      <c r="B48">
        <v>31480.840000000004</v>
      </c>
    </row>
    <row r="49" spans="1:2" x14ac:dyDescent="0.25">
      <c r="A49" t="s">
        <v>110</v>
      </c>
      <c r="B49">
        <v>22461.98</v>
      </c>
    </row>
    <row r="50" spans="1:2" x14ac:dyDescent="0.25">
      <c r="A50" t="s">
        <v>23</v>
      </c>
      <c r="B50">
        <v>10817.83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topLeftCell="K1" zoomScaleNormal="100" workbookViewId="0">
      <selection activeCell="X11" sqref="X11"/>
    </sheetView>
  </sheetViews>
  <sheetFormatPr defaultColWidth="11.5546875" defaultRowHeight="13.2" x14ac:dyDescent="0.25"/>
  <cols>
    <col min="1" max="1" width="16" customWidth="1"/>
    <col min="2" max="2" width="18.21875" customWidth="1"/>
    <col min="3" max="3" width="18.33203125" customWidth="1"/>
    <col min="4" max="4" width="14.21875" customWidth="1"/>
    <col min="5" max="5" width="13.77734375" customWidth="1"/>
    <col min="6" max="6" width="17.88671875" customWidth="1"/>
    <col min="7" max="7" width="18.44140625" customWidth="1"/>
    <col min="8" max="8" width="9.6640625" customWidth="1"/>
    <col min="9" max="9" width="11" customWidth="1"/>
    <col min="10" max="10" width="8.6640625" customWidth="1"/>
    <col min="11" max="11" width="16.33203125" customWidth="1"/>
    <col min="12" max="12" width="14.33203125" customWidth="1"/>
    <col min="13" max="13" width="18.77734375" customWidth="1"/>
    <col min="14" max="14" width="10" customWidth="1"/>
    <col min="17" max="17" width="28.21875" customWidth="1"/>
    <col min="22" max="22" width="20" customWidth="1"/>
    <col min="23" max="23" width="15.88671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4" x14ac:dyDescent="0.25">
      <c r="A2" t="s">
        <v>14</v>
      </c>
      <c r="B2" s="1" t="s">
        <v>15</v>
      </c>
      <c r="C2" s="1" t="s">
        <v>16</v>
      </c>
      <c r="D2" t="s">
        <v>17</v>
      </c>
      <c r="E2" t="s">
        <v>18</v>
      </c>
      <c r="F2" t="s">
        <v>19</v>
      </c>
      <c r="G2" t="s">
        <v>20</v>
      </c>
      <c r="H2">
        <v>1266.76</v>
      </c>
      <c r="I2" t="s">
        <v>21</v>
      </c>
      <c r="J2" t="s">
        <v>22</v>
      </c>
      <c r="K2" t="s">
        <v>23</v>
      </c>
      <c r="L2">
        <v>0</v>
      </c>
      <c r="M2">
        <v>0</v>
      </c>
      <c r="N2" t="s">
        <v>24</v>
      </c>
    </row>
    <row r="3" spans="1:24" x14ac:dyDescent="0.25">
      <c r="A3" t="s">
        <v>25</v>
      </c>
      <c r="B3" s="1" t="s">
        <v>26</v>
      </c>
      <c r="C3" s="1" t="s">
        <v>27</v>
      </c>
      <c r="D3" t="s">
        <v>28</v>
      </c>
      <c r="E3" t="s">
        <v>29</v>
      </c>
      <c r="F3" t="s">
        <v>19</v>
      </c>
      <c r="G3" t="s">
        <v>30</v>
      </c>
      <c r="H3">
        <v>3433.6</v>
      </c>
      <c r="I3" t="s">
        <v>31</v>
      </c>
      <c r="J3" t="s">
        <v>22</v>
      </c>
      <c r="K3" t="s">
        <v>32</v>
      </c>
      <c r="L3">
        <v>0</v>
      </c>
      <c r="M3">
        <v>0</v>
      </c>
      <c r="N3" t="s">
        <v>24</v>
      </c>
      <c r="V3" t="s">
        <v>504</v>
      </c>
      <c r="W3" t="s">
        <v>474</v>
      </c>
      <c r="X3" t="s">
        <v>510</v>
      </c>
    </row>
    <row r="4" spans="1:24" x14ac:dyDescent="0.25">
      <c r="A4" t="s">
        <v>33</v>
      </c>
      <c r="B4" s="1" t="s">
        <v>34</v>
      </c>
      <c r="C4" s="1" t="s">
        <v>35</v>
      </c>
      <c r="D4" t="s">
        <v>36</v>
      </c>
      <c r="E4" t="s">
        <v>37</v>
      </c>
      <c r="F4" t="s">
        <v>38</v>
      </c>
      <c r="G4" t="s">
        <v>20</v>
      </c>
      <c r="H4">
        <v>4534.18</v>
      </c>
      <c r="I4" t="s">
        <v>31</v>
      </c>
      <c r="J4" t="s">
        <v>22</v>
      </c>
      <c r="K4" t="s">
        <v>39</v>
      </c>
      <c r="L4">
        <v>0</v>
      </c>
      <c r="M4">
        <v>0</v>
      </c>
      <c r="N4" t="s">
        <v>40</v>
      </c>
    </row>
    <row r="5" spans="1:24" x14ac:dyDescent="0.25">
      <c r="A5" t="s">
        <v>41</v>
      </c>
      <c r="B5" s="1" t="s">
        <v>42</v>
      </c>
      <c r="C5" s="1" t="s">
        <v>43</v>
      </c>
      <c r="D5" t="s">
        <v>44</v>
      </c>
      <c r="E5" t="s">
        <v>45</v>
      </c>
      <c r="F5" t="s">
        <v>46</v>
      </c>
      <c r="G5" t="s">
        <v>47</v>
      </c>
      <c r="H5">
        <v>2978.47</v>
      </c>
      <c r="I5" t="s">
        <v>31</v>
      </c>
      <c r="J5" t="s">
        <v>48</v>
      </c>
      <c r="K5" t="s">
        <v>49</v>
      </c>
      <c r="L5">
        <v>59.57</v>
      </c>
      <c r="M5">
        <v>2918.9</v>
      </c>
      <c r="N5" t="s">
        <v>50</v>
      </c>
      <c r="V5" t="s">
        <v>505</v>
      </c>
      <c r="W5" t="s">
        <v>506</v>
      </c>
      <c r="X5" t="s">
        <v>507</v>
      </c>
    </row>
    <row r="6" spans="1:24" x14ac:dyDescent="0.25">
      <c r="A6" t="s">
        <v>51</v>
      </c>
      <c r="B6" s="1" t="s">
        <v>52</v>
      </c>
      <c r="C6" s="1" t="s">
        <v>53</v>
      </c>
      <c r="D6" t="s">
        <v>54</v>
      </c>
      <c r="E6" t="s">
        <v>55</v>
      </c>
      <c r="F6" t="s">
        <v>56</v>
      </c>
      <c r="G6" t="s">
        <v>47</v>
      </c>
      <c r="H6">
        <v>3690.48</v>
      </c>
      <c r="I6" t="s">
        <v>31</v>
      </c>
      <c r="J6" t="s">
        <v>22</v>
      </c>
      <c r="K6" t="s">
        <v>49</v>
      </c>
      <c r="L6">
        <v>0</v>
      </c>
      <c r="M6">
        <v>0</v>
      </c>
      <c r="N6" t="s">
        <v>50</v>
      </c>
      <c r="V6" t="s">
        <v>508</v>
      </c>
      <c r="W6">
        <v>126042.41</v>
      </c>
    </row>
    <row r="7" spans="1:24" x14ac:dyDescent="0.25">
      <c r="A7" t="s">
        <v>57</v>
      </c>
      <c r="B7" s="1" t="s">
        <v>58</v>
      </c>
      <c r="C7" s="1" t="s">
        <v>59</v>
      </c>
      <c r="D7" t="s">
        <v>60</v>
      </c>
      <c r="E7" t="s">
        <v>61</v>
      </c>
      <c r="F7" t="s">
        <v>46</v>
      </c>
      <c r="G7" t="s">
        <v>47</v>
      </c>
      <c r="H7">
        <v>1119.6300000000001</v>
      </c>
      <c r="I7" t="s">
        <v>21</v>
      </c>
      <c r="J7" t="s">
        <v>48</v>
      </c>
      <c r="K7" t="s">
        <v>49</v>
      </c>
      <c r="L7">
        <v>22.39</v>
      </c>
      <c r="M7">
        <v>1097.24</v>
      </c>
      <c r="N7" t="s">
        <v>62</v>
      </c>
      <c r="V7" t="s">
        <v>509</v>
      </c>
      <c r="X7">
        <v>126042.41</v>
      </c>
    </row>
    <row r="8" spans="1:24" x14ac:dyDescent="0.25">
      <c r="A8" t="s">
        <v>63</v>
      </c>
      <c r="B8" s="1" t="s">
        <v>26</v>
      </c>
      <c r="C8" s="1" t="s">
        <v>64</v>
      </c>
      <c r="D8" t="s">
        <v>65</v>
      </c>
      <c r="E8" t="s">
        <v>66</v>
      </c>
      <c r="F8" t="s">
        <v>46</v>
      </c>
      <c r="G8" t="s">
        <v>30</v>
      </c>
      <c r="H8">
        <v>4818.3999999999996</v>
      </c>
      <c r="I8" t="s">
        <v>21</v>
      </c>
      <c r="J8" t="s">
        <v>48</v>
      </c>
      <c r="K8" t="s">
        <v>49</v>
      </c>
      <c r="L8">
        <v>96.37</v>
      </c>
      <c r="M8">
        <v>4722.03</v>
      </c>
      <c r="N8" t="s">
        <v>24</v>
      </c>
    </row>
    <row r="9" spans="1:24" x14ac:dyDescent="0.25">
      <c r="A9" t="s">
        <v>67</v>
      </c>
      <c r="B9" s="1" t="s">
        <v>68</v>
      </c>
      <c r="C9" s="1" t="s">
        <v>69</v>
      </c>
      <c r="D9" t="s">
        <v>70</v>
      </c>
      <c r="E9" t="s">
        <v>71</v>
      </c>
      <c r="F9" t="s">
        <v>19</v>
      </c>
      <c r="G9" t="s">
        <v>20</v>
      </c>
      <c r="H9">
        <v>1965.15</v>
      </c>
      <c r="I9" t="s">
        <v>21</v>
      </c>
      <c r="J9" t="s">
        <v>22</v>
      </c>
      <c r="K9" t="s">
        <v>32</v>
      </c>
      <c r="L9">
        <v>0</v>
      </c>
      <c r="M9">
        <v>0</v>
      </c>
      <c r="N9" t="s">
        <v>50</v>
      </c>
      <c r="Q9" t="s">
        <v>467</v>
      </c>
      <c r="R9" t="s">
        <v>474</v>
      </c>
    </row>
    <row r="10" spans="1:24" x14ac:dyDescent="0.25">
      <c r="A10" t="s">
        <v>72</v>
      </c>
      <c r="B10" s="1" t="s">
        <v>52</v>
      </c>
      <c r="C10" s="1" t="s">
        <v>73</v>
      </c>
      <c r="D10" t="s">
        <v>74</v>
      </c>
      <c r="E10" t="s">
        <v>75</v>
      </c>
      <c r="F10" t="s">
        <v>46</v>
      </c>
      <c r="G10" t="s">
        <v>47</v>
      </c>
      <c r="H10">
        <v>4603.96</v>
      </c>
      <c r="I10" t="s">
        <v>21</v>
      </c>
      <c r="J10" t="s">
        <v>22</v>
      </c>
      <c r="K10" t="s">
        <v>49</v>
      </c>
      <c r="L10">
        <v>0</v>
      </c>
      <c r="M10">
        <v>0</v>
      </c>
      <c r="N10" t="s">
        <v>40</v>
      </c>
      <c r="Q10" t="s">
        <v>461</v>
      </c>
      <c r="R10">
        <f>SUMIFS(H2:H101,J2:J101,"Success")</f>
        <v>126042.40999999997</v>
      </c>
      <c r="V10" t="s">
        <v>473</v>
      </c>
      <c r="W10" t="s">
        <v>474</v>
      </c>
    </row>
    <row r="11" spans="1:24" x14ac:dyDescent="0.25">
      <c r="A11" t="s">
        <v>76</v>
      </c>
      <c r="B11" s="1" t="s">
        <v>77</v>
      </c>
      <c r="C11" s="1" t="s">
        <v>78</v>
      </c>
      <c r="D11" t="s">
        <v>79</v>
      </c>
      <c r="E11" t="s">
        <v>80</v>
      </c>
      <c r="F11" t="s">
        <v>56</v>
      </c>
      <c r="G11" t="s">
        <v>47</v>
      </c>
      <c r="H11">
        <v>2990.19</v>
      </c>
      <c r="I11" t="s">
        <v>81</v>
      </c>
      <c r="J11" t="s">
        <v>22</v>
      </c>
      <c r="K11" t="s">
        <v>23</v>
      </c>
      <c r="L11">
        <v>0</v>
      </c>
      <c r="M11">
        <v>0</v>
      </c>
      <c r="N11" t="s">
        <v>50</v>
      </c>
      <c r="Q11" t="s">
        <v>462</v>
      </c>
      <c r="R11">
        <f>COUNTIF(J2:J101,"Success")</f>
        <v>48</v>
      </c>
      <c r="V11" s="2" t="s">
        <v>475</v>
      </c>
      <c r="W11" t="s">
        <v>476</v>
      </c>
    </row>
    <row r="12" spans="1:24" x14ac:dyDescent="0.25">
      <c r="A12" t="s">
        <v>82</v>
      </c>
      <c r="B12" s="1" t="s">
        <v>83</v>
      </c>
      <c r="C12" s="1" t="s">
        <v>84</v>
      </c>
      <c r="D12" t="s">
        <v>85</v>
      </c>
      <c r="E12" t="s">
        <v>86</v>
      </c>
      <c r="F12" t="s">
        <v>56</v>
      </c>
      <c r="G12" t="s">
        <v>20</v>
      </c>
      <c r="H12">
        <v>2396.3200000000002</v>
      </c>
      <c r="I12" t="s">
        <v>31</v>
      </c>
      <c r="J12" t="s">
        <v>48</v>
      </c>
      <c r="K12" t="s">
        <v>49</v>
      </c>
      <c r="L12">
        <v>47.93</v>
      </c>
      <c r="M12">
        <v>2348.39</v>
      </c>
      <c r="N12" t="s">
        <v>50</v>
      </c>
      <c r="Q12" t="s">
        <v>463</v>
      </c>
      <c r="R12">
        <f>SUM(L2:L101)</f>
        <v>2520.84</v>
      </c>
      <c r="V12" t="s">
        <v>477</v>
      </c>
      <c r="W12" s="3">
        <f>2%*126042.41</f>
        <v>2520.8481999999999</v>
      </c>
    </row>
    <row r="13" spans="1:24" x14ac:dyDescent="0.25">
      <c r="A13" t="s">
        <v>87</v>
      </c>
      <c r="B13" s="1" t="s">
        <v>88</v>
      </c>
      <c r="C13" s="1" t="s">
        <v>89</v>
      </c>
      <c r="D13" t="s">
        <v>90</v>
      </c>
      <c r="E13" t="s">
        <v>91</v>
      </c>
      <c r="F13" t="s">
        <v>92</v>
      </c>
      <c r="G13" t="s">
        <v>47</v>
      </c>
      <c r="H13">
        <v>131.27000000000001</v>
      </c>
      <c r="I13" t="s">
        <v>31</v>
      </c>
      <c r="J13" t="s">
        <v>48</v>
      </c>
      <c r="K13" t="s">
        <v>49</v>
      </c>
      <c r="L13">
        <v>2.63</v>
      </c>
      <c r="M13">
        <v>128.63999999999999</v>
      </c>
      <c r="N13" t="s">
        <v>50</v>
      </c>
      <c r="Q13" t="s">
        <v>464</v>
      </c>
      <c r="R13">
        <f>SUM(M2:M101)</f>
        <v>123521.56999999998</v>
      </c>
      <c r="V13" t="s">
        <v>478</v>
      </c>
      <c r="W13">
        <v>0</v>
      </c>
    </row>
    <row r="14" spans="1:24" x14ac:dyDescent="0.25">
      <c r="A14" t="s">
        <v>93</v>
      </c>
      <c r="B14" s="1" t="s">
        <v>94</v>
      </c>
      <c r="C14" s="1" t="s">
        <v>95</v>
      </c>
      <c r="D14" t="s">
        <v>96</v>
      </c>
      <c r="E14" t="s">
        <v>97</v>
      </c>
      <c r="F14" t="s">
        <v>46</v>
      </c>
      <c r="G14" t="s">
        <v>20</v>
      </c>
      <c r="H14">
        <v>4861.8</v>
      </c>
      <c r="I14" t="s">
        <v>98</v>
      </c>
      <c r="J14" t="s">
        <v>22</v>
      </c>
      <c r="K14" t="s">
        <v>39</v>
      </c>
      <c r="L14">
        <v>0</v>
      </c>
      <c r="M14">
        <v>0</v>
      </c>
      <c r="N14" t="s">
        <v>99</v>
      </c>
      <c r="Q14" t="s">
        <v>465</v>
      </c>
      <c r="R14">
        <f>AVERAGE(H2:H101)</f>
        <v>2616.9515999999999</v>
      </c>
      <c r="V14" t="s">
        <v>479</v>
      </c>
      <c r="W14" s="3">
        <f>2%*126042.41</f>
        <v>2520.8481999999999</v>
      </c>
    </row>
    <row r="15" spans="1:24" x14ac:dyDescent="0.25">
      <c r="A15" t="s">
        <v>100</v>
      </c>
      <c r="B15" s="1" t="s">
        <v>26</v>
      </c>
      <c r="C15" s="1" t="s">
        <v>101</v>
      </c>
      <c r="D15" t="s">
        <v>102</v>
      </c>
      <c r="E15" t="s">
        <v>103</v>
      </c>
      <c r="F15" t="s">
        <v>92</v>
      </c>
      <c r="G15" t="s">
        <v>20</v>
      </c>
      <c r="H15">
        <v>4513.13</v>
      </c>
      <c r="I15" t="s">
        <v>104</v>
      </c>
      <c r="J15" t="s">
        <v>22</v>
      </c>
      <c r="K15" t="s">
        <v>32</v>
      </c>
      <c r="L15">
        <v>0</v>
      </c>
      <c r="M15">
        <v>0</v>
      </c>
      <c r="N15" t="s">
        <v>24</v>
      </c>
    </row>
    <row r="16" spans="1:24" x14ac:dyDescent="0.25">
      <c r="A16" t="s">
        <v>105</v>
      </c>
      <c r="B16" s="1" t="s">
        <v>106</v>
      </c>
      <c r="C16" s="1" t="s">
        <v>107</v>
      </c>
      <c r="D16" t="s">
        <v>108</v>
      </c>
      <c r="E16" t="s">
        <v>109</v>
      </c>
      <c r="F16" t="s">
        <v>46</v>
      </c>
      <c r="G16" t="s">
        <v>30</v>
      </c>
      <c r="H16">
        <v>3282.68</v>
      </c>
      <c r="I16" t="s">
        <v>31</v>
      </c>
      <c r="J16" t="s">
        <v>22</v>
      </c>
      <c r="K16" t="s">
        <v>110</v>
      </c>
      <c r="L16">
        <v>0</v>
      </c>
      <c r="M16">
        <v>0</v>
      </c>
      <c r="N16" t="s">
        <v>40</v>
      </c>
    </row>
    <row r="17" spans="1:23" x14ac:dyDescent="0.25">
      <c r="A17" t="s">
        <v>111</v>
      </c>
      <c r="B17" s="1" t="s">
        <v>112</v>
      </c>
      <c r="C17" s="1" t="s">
        <v>113</v>
      </c>
      <c r="D17" t="s">
        <v>114</v>
      </c>
      <c r="E17" t="s">
        <v>115</v>
      </c>
      <c r="F17" t="s">
        <v>92</v>
      </c>
      <c r="G17" t="s">
        <v>30</v>
      </c>
      <c r="H17">
        <v>1727.92</v>
      </c>
      <c r="I17" t="s">
        <v>104</v>
      </c>
      <c r="J17" t="s">
        <v>48</v>
      </c>
      <c r="K17" t="s">
        <v>49</v>
      </c>
      <c r="L17">
        <v>34.56</v>
      </c>
      <c r="M17">
        <v>1693.36</v>
      </c>
      <c r="N17" t="s">
        <v>50</v>
      </c>
      <c r="V17" t="s">
        <v>480</v>
      </c>
      <c r="W17" t="s">
        <v>474</v>
      </c>
    </row>
    <row r="18" spans="1:23" x14ac:dyDescent="0.25">
      <c r="A18" t="s">
        <v>116</v>
      </c>
      <c r="B18" s="1" t="s">
        <v>117</v>
      </c>
      <c r="C18" s="1" t="s">
        <v>118</v>
      </c>
      <c r="D18" t="s">
        <v>119</v>
      </c>
      <c r="E18" t="s">
        <v>120</v>
      </c>
      <c r="F18" t="s">
        <v>46</v>
      </c>
      <c r="G18" t="s">
        <v>20</v>
      </c>
      <c r="H18">
        <v>3887.27</v>
      </c>
      <c r="I18" t="s">
        <v>98</v>
      </c>
      <c r="J18" t="s">
        <v>48</v>
      </c>
      <c r="K18" t="s">
        <v>49</v>
      </c>
      <c r="L18">
        <v>77.75</v>
      </c>
      <c r="M18">
        <v>3809.52</v>
      </c>
      <c r="N18" t="s">
        <v>50</v>
      </c>
      <c r="Q18" t="s">
        <v>466</v>
      </c>
      <c r="R18" t="s">
        <v>474</v>
      </c>
      <c r="V18" t="s">
        <v>481</v>
      </c>
    </row>
    <row r="19" spans="1:23" x14ac:dyDescent="0.25">
      <c r="A19" t="s">
        <v>121</v>
      </c>
      <c r="B19" s="1" t="s">
        <v>52</v>
      </c>
      <c r="C19" s="1" t="s">
        <v>122</v>
      </c>
      <c r="D19" t="s">
        <v>123</v>
      </c>
      <c r="E19" t="s">
        <v>124</v>
      </c>
      <c r="F19" t="s">
        <v>46</v>
      </c>
      <c r="G19" t="s">
        <v>20</v>
      </c>
      <c r="H19">
        <v>1856.42</v>
      </c>
      <c r="I19" t="s">
        <v>104</v>
      </c>
      <c r="J19" t="s">
        <v>22</v>
      </c>
      <c r="K19" t="s">
        <v>32</v>
      </c>
      <c r="L19">
        <v>0</v>
      </c>
      <c r="M19">
        <v>0</v>
      </c>
      <c r="N19" t="s">
        <v>50</v>
      </c>
      <c r="Q19" t="s">
        <v>468</v>
      </c>
      <c r="R19">
        <f>SUMIFS(H2:H101,F2:F101,"Credit Card",J2:J101,"Success")</f>
        <v>31976.749999999996</v>
      </c>
      <c r="V19" s="2" t="s">
        <v>482</v>
      </c>
      <c r="W19" t="s">
        <v>476</v>
      </c>
    </row>
    <row r="20" spans="1:23" ht="13.8" x14ac:dyDescent="0.25">
      <c r="A20" t="s">
        <v>125</v>
      </c>
      <c r="B20" s="1" t="s">
        <v>106</v>
      </c>
      <c r="C20" s="1" t="s">
        <v>126</v>
      </c>
      <c r="D20" t="s">
        <v>119</v>
      </c>
      <c r="E20" t="s">
        <v>127</v>
      </c>
      <c r="F20" t="s">
        <v>46</v>
      </c>
      <c r="G20" t="s">
        <v>20</v>
      </c>
      <c r="H20">
        <v>3386.06</v>
      </c>
      <c r="I20" t="s">
        <v>81</v>
      </c>
      <c r="J20" t="s">
        <v>22</v>
      </c>
      <c r="K20" t="s">
        <v>49</v>
      </c>
      <c r="L20">
        <v>0</v>
      </c>
      <c r="M20">
        <v>0</v>
      </c>
      <c r="N20" t="s">
        <v>62</v>
      </c>
      <c r="Q20" t="s">
        <v>469</v>
      </c>
      <c r="R20">
        <f>SUMIFS(H2:H101,F2:F101,"Debit Card",J2:J101,"Success")</f>
        <v>5569.7999999999993</v>
      </c>
      <c r="V20" s="7" t="s">
        <v>483</v>
      </c>
      <c r="W20" s="3">
        <f>2%*126042.41</f>
        <v>2520.8481999999999</v>
      </c>
    </row>
    <row r="21" spans="1:23" x14ac:dyDescent="0.25">
      <c r="A21" t="s">
        <v>128</v>
      </c>
      <c r="B21" s="1" t="s">
        <v>129</v>
      </c>
      <c r="C21" s="1" t="s">
        <v>130</v>
      </c>
      <c r="D21" t="s">
        <v>131</v>
      </c>
      <c r="E21" t="s">
        <v>132</v>
      </c>
      <c r="F21" t="s">
        <v>38</v>
      </c>
      <c r="G21" t="s">
        <v>47</v>
      </c>
      <c r="H21">
        <v>3763.53</v>
      </c>
      <c r="I21" t="s">
        <v>21</v>
      </c>
      <c r="J21" t="s">
        <v>48</v>
      </c>
      <c r="K21" t="s">
        <v>49</v>
      </c>
      <c r="L21">
        <v>75.27</v>
      </c>
      <c r="M21">
        <v>3688.26</v>
      </c>
      <c r="N21" t="s">
        <v>50</v>
      </c>
      <c r="Q21" t="s">
        <v>56</v>
      </c>
      <c r="R21">
        <f>SUMIFS(H2:H101,F2:F101,"Net Banking",J2:J101,"Success")</f>
        <v>25243.100000000002</v>
      </c>
    </row>
    <row r="22" spans="1:23" x14ac:dyDescent="0.25">
      <c r="A22" t="s">
        <v>133</v>
      </c>
      <c r="B22" s="1" t="s">
        <v>77</v>
      </c>
      <c r="C22" s="1" t="s">
        <v>134</v>
      </c>
      <c r="D22" t="s">
        <v>135</v>
      </c>
      <c r="E22" t="s">
        <v>136</v>
      </c>
      <c r="F22" t="s">
        <v>92</v>
      </c>
      <c r="G22" t="s">
        <v>47</v>
      </c>
      <c r="H22">
        <v>2169.5500000000002</v>
      </c>
      <c r="I22" t="s">
        <v>81</v>
      </c>
      <c r="J22" t="s">
        <v>22</v>
      </c>
      <c r="K22" t="s">
        <v>32</v>
      </c>
      <c r="L22">
        <v>0</v>
      </c>
      <c r="M22">
        <v>0</v>
      </c>
      <c r="N22" t="s">
        <v>24</v>
      </c>
      <c r="Q22" t="s">
        <v>46</v>
      </c>
      <c r="R22">
        <f>SUMIFS(H2:H101,F2:F101,"Wallet",J2:J101,"Success")</f>
        <v>40883.760000000002</v>
      </c>
    </row>
    <row r="23" spans="1:23" x14ac:dyDescent="0.25">
      <c r="A23" t="s">
        <v>137</v>
      </c>
      <c r="B23" s="1" t="s">
        <v>138</v>
      </c>
      <c r="C23" s="1" t="s">
        <v>139</v>
      </c>
      <c r="D23" t="s">
        <v>70</v>
      </c>
      <c r="E23" t="s">
        <v>140</v>
      </c>
      <c r="F23" t="s">
        <v>46</v>
      </c>
      <c r="G23" t="s">
        <v>30</v>
      </c>
      <c r="H23">
        <v>4058.95</v>
      </c>
      <c r="I23" t="s">
        <v>98</v>
      </c>
      <c r="J23" t="s">
        <v>22</v>
      </c>
      <c r="K23" t="s">
        <v>110</v>
      </c>
      <c r="L23">
        <v>0</v>
      </c>
      <c r="M23">
        <v>0</v>
      </c>
      <c r="N23" t="s">
        <v>24</v>
      </c>
      <c r="Q23" t="s">
        <v>38</v>
      </c>
      <c r="V23" t="s">
        <v>484</v>
      </c>
      <c r="W23" s="4" t="s">
        <v>474</v>
      </c>
    </row>
    <row r="24" spans="1:23" x14ac:dyDescent="0.25">
      <c r="A24" t="s">
        <v>141</v>
      </c>
      <c r="B24" s="1" t="s">
        <v>34</v>
      </c>
      <c r="C24" s="1" t="s">
        <v>142</v>
      </c>
      <c r="D24" t="s">
        <v>143</v>
      </c>
      <c r="E24" t="s">
        <v>144</v>
      </c>
      <c r="F24" t="s">
        <v>38</v>
      </c>
      <c r="G24" t="s">
        <v>20</v>
      </c>
      <c r="H24">
        <v>365.03</v>
      </c>
      <c r="I24" t="s">
        <v>98</v>
      </c>
      <c r="J24" t="s">
        <v>22</v>
      </c>
      <c r="K24" t="s">
        <v>39</v>
      </c>
      <c r="L24">
        <v>0</v>
      </c>
      <c r="M24">
        <v>0</v>
      </c>
      <c r="N24" t="s">
        <v>24</v>
      </c>
      <c r="V24" s="2" t="s">
        <v>485</v>
      </c>
      <c r="W24" s="2" t="s">
        <v>476</v>
      </c>
    </row>
    <row r="25" spans="1:23" ht="13.8" x14ac:dyDescent="0.25">
      <c r="A25" t="s">
        <v>145</v>
      </c>
      <c r="B25" s="1" t="s">
        <v>52</v>
      </c>
      <c r="C25" s="1" t="s">
        <v>146</v>
      </c>
      <c r="D25" t="s">
        <v>147</v>
      </c>
      <c r="E25" t="s">
        <v>148</v>
      </c>
      <c r="F25" t="s">
        <v>38</v>
      </c>
      <c r="G25" t="s">
        <v>47</v>
      </c>
      <c r="H25">
        <v>4534.22</v>
      </c>
      <c r="I25" t="s">
        <v>98</v>
      </c>
      <c r="J25" t="s">
        <v>48</v>
      </c>
      <c r="K25" t="s">
        <v>49</v>
      </c>
      <c r="L25">
        <v>90.68</v>
      </c>
      <c r="M25">
        <v>4443.54</v>
      </c>
      <c r="N25" t="s">
        <v>40</v>
      </c>
      <c r="Q25" t="s">
        <v>470</v>
      </c>
      <c r="R25" t="s">
        <v>474</v>
      </c>
      <c r="V25" s="7" t="s">
        <v>464</v>
      </c>
      <c r="W25" s="6">
        <f>R10-R13</f>
        <v>2520.8399999999965</v>
      </c>
    </row>
    <row r="26" spans="1:23" x14ac:dyDescent="0.25">
      <c r="A26" t="s">
        <v>149</v>
      </c>
      <c r="B26" s="1" t="s">
        <v>106</v>
      </c>
      <c r="C26" s="1" t="s">
        <v>150</v>
      </c>
      <c r="D26" t="s">
        <v>151</v>
      </c>
      <c r="E26" t="s">
        <v>152</v>
      </c>
      <c r="F26" t="s">
        <v>92</v>
      </c>
      <c r="G26" t="s">
        <v>30</v>
      </c>
      <c r="H26">
        <v>191.69</v>
      </c>
      <c r="I26" t="s">
        <v>104</v>
      </c>
      <c r="J26" t="s">
        <v>48</v>
      </c>
      <c r="K26" t="s">
        <v>49</v>
      </c>
      <c r="L26">
        <v>3.83</v>
      </c>
      <c r="M26">
        <v>187.86</v>
      </c>
      <c r="N26" t="s">
        <v>24</v>
      </c>
      <c r="Q26" t="s">
        <v>471</v>
      </c>
      <c r="R26">
        <f>COUNTIF(K2:K101,"Insufficient Funds")</f>
        <v>13</v>
      </c>
    </row>
    <row r="27" spans="1:23" x14ac:dyDescent="0.25">
      <c r="A27" t="s">
        <v>153</v>
      </c>
      <c r="B27" s="1" t="s">
        <v>154</v>
      </c>
      <c r="C27" s="1" t="s">
        <v>155</v>
      </c>
      <c r="D27" t="s">
        <v>156</v>
      </c>
      <c r="E27" t="s">
        <v>157</v>
      </c>
      <c r="F27" t="s">
        <v>92</v>
      </c>
      <c r="G27" t="s">
        <v>47</v>
      </c>
      <c r="H27">
        <v>3170.77</v>
      </c>
      <c r="I27" t="s">
        <v>81</v>
      </c>
      <c r="J27" t="s">
        <v>48</v>
      </c>
      <c r="K27" t="s">
        <v>49</v>
      </c>
      <c r="L27">
        <v>63.42</v>
      </c>
      <c r="M27">
        <v>3107.35</v>
      </c>
      <c r="N27" t="s">
        <v>24</v>
      </c>
      <c r="Q27" t="s">
        <v>472</v>
      </c>
      <c r="R27">
        <f>COUNTIF(K2:K101,"Network error")</f>
        <v>5</v>
      </c>
      <c r="V27" t="s">
        <v>486</v>
      </c>
      <c r="W27" t="s">
        <v>474</v>
      </c>
    </row>
    <row r="28" spans="1:23" x14ac:dyDescent="0.25">
      <c r="A28" t="s">
        <v>158</v>
      </c>
      <c r="B28" s="1" t="s">
        <v>52</v>
      </c>
      <c r="C28" s="1" t="s">
        <v>159</v>
      </c>
      <c r="D28" t="s">
        <v>160</v>
      </c>
      <c r="E28" t="s">
        <v>161</v>
      </c>
      <c r="F28" t="s">
        <v>92</v>
      </c>
      <c r="G28" t="s">
        <v>30</v>
      </c>
      <c r="H28">
        <v>1501.47</v>
      </c>
      <c r="I28" t="s">
        <v>31</v>
      </c>
      <c r="J28" t="s">
        <v>48</v>
      </c>
      <c r="K28" t="s">
        <v>49</v>
      </c>
      <c r="L28">
        <v>30.03</v>
      </c>
      <c r="M28">
        <v>1471.44</v>
      </c>
      <c r="N28" t="s">
        <v>99</v>
      </c>
      <c r="Q28" t="s">
        <v>39</v>
      </c>
      <c r="R28">
        <f>COUNTIF(K2:K101,"Card Expired")</f>
        <v>14</v>
      </c>
      <c r="V28" s="2" t="s">
        <v>486</v>
      </c>
      <c r="W28" t="s">
        <v>476</v>
      </c>
    </row>
    <row r="29" spans="1:23" x14ac:dyDescent="0.25">
      <c r="A29" t="s">
        <v>162</v>
      </c>
      <c r="B29" s="1" t="s">
        <v>15</v>
      </c>
      <c r="C29" s="1" t="s">
        <v>163</v>
      </c>
      <c r="D29" t="s">
        <v>164</v>
      </c>
      <c r="E29" t="s">
        <v>165</v>
      </c>
      <c r="F29" t="s">
        <v>56</v>
      </c>
      <c r="G29" t="s">
        <v>30</v>
      </c>
      <c r="H29">
        <v>228.92</v>
      </c>
      <c r="I29" t="s">
        <v>81</v>
      </c>
      <c r="J29" t="s">
        <v>48</v>
      </c>
      <c r="K29" t="s">
        <v>49</v>
      </c>
      <c r="L29">
        <v>4.58</v>
      </c>
      <c r="M29">
        <v>224.34</v>
      </c>
      <c r="N29" t="s">
        <v>50</v>
      </c>
      <c r="Q29" t="s">
        <v>110</v>
      </c>
      <c r="R29">
        <f>COUNTIF(K2:K101,"Invalid PIN")</f>
        <v>8</v>
      </c>
      <c r="V29" t="s">
        <v>487</v>
      </c>
      <c r="W29" s="3">
        <f>2%*126042.41</f>
        <v>2520.8481999999999</v>
      </c>
    </row>
    <row r="30" spans="1:23" x14ac:dyDescent="0.25">
      <c r="A30" t="s">
        <v>166</v>
      </c>
      <c r="B30" s="1" t="s">
        <v>88</v>
      </c>
      <c r="C30" s="1" t="s">
        <v>167</v>
      </c>
      <c r="D30" t="s">
        <v>168</v>
      </c>
      <c r="E30" t="s">
        <v>169</v>
      </c>
      <c r="F30" t="s">
        <v>46</v>
      </c>
      <c r="G30" t="s">
        <v>20</v>
      </c>
      <c r="H30">
        <v>2201.7199999999998</v>
      </c>
      <c r="I30" t="s">
        <v>31</v>
      </c>
      <c r="J30" t="s">
        <v>48</v>
      </c>
      <c r="K30" t="s">
        <v>49</v>
      </c>
      <c r="L30">
        <v>44.03</v>
      </c>
      <c r="M30">
        <v>2157.69</v>
      </c>
      <c r="N30" t="s">
        <v>50</v>
      </c>
    </row>
    <row r="31" spans="1:23" x14ac:dyDescent="0.25">
      <c r="A31" t="s">
        <v>170</v>
      </c>
      <c r="B31" s="1" t="s">
        <v>106</v>
      </c>
      <c r="C31" s="1" t="s">
        <v>171</v>
      </c>
      <c r="D31" t="s">
        <v>172</v>
      </c>
      <c r="E31" t="s">
        <v>173</v>
      </c>
      <c r="F31" t="s">
        <v>46</v>
      </c>
      <c r="G31" t="s">
        <v>30</v>
      </c>
      <c r="H31">
        <v>4229.42</v>
      </c>
      <c r="I31" t="s">
        <v>104</v>
      </c>
      <c r="J31" t="s">
        <v>48</v>
      </c>
      <c r="K31" t="s">
        <v>49</v>
      </c>
      <c r="L31">
        <v>84.59</v>
      </c>
      <c r="M31">
        <v>4144.83</v>
      </c>
      <c r="N31" t="s">
        <v>40</v>
      </c>
    </row>
    <row r="32" spans="1:23" ht="13.8" x14ac:dyDescent="0.25">
      <c r="A32" t="s">
        <v>174</v>
      </c>
      <c r="B32" s="1" t="s">
        <v>94</v>
      </c>
      <c r="C32" s="1" t="s">
        <v>175</v>
      </c>
      <c r="D32" t="s">
        <v>176</v>
      </c>
      <c r="E32" t="s">
        <v>177</v>
      </c>
      <c r="F32" t="s">
        <v>38</v>
      </c>
      <c r="G32" t="s">
        <v>30</v>
      </c>
      <c r="H32">
        <v>958.62</v>
      </c>
      <c r="I32" t="s">
        <v>31</v>
      </c>
      <c r="J32" t="s">
        <v>22</v>
      </c>
      <c r="K32" t="s">
        <v>32</v>
      </c>
      <c r="L32">
        <v>0</v>
      </c>
      <c r="M32">
        <v>0</v>
      </c>
      <c r="N32" t="s">
        <v>24</v>
      </c>
      <c r="V32" s="8" t="s">
        <v>488</v>
      </c>
      <c r="W32" t="s">
        <v>474</v>
      </c>
    </row>
    <row r="33" spans="1:23" x14ac:dyDescent="0.25">
      <c r="A33" t="s">
        <v>178</v>
      </c>
      <c r="B33" s="1" t="s">
        <v>179</v>
      </c>
      <c r="C33" s="1" t="s">
        <v>180</v>
      </c>
      <c r="D33" t="s">
        <v>181</v>
      </c>
      <c r="E33" t="s">
        <v>182</v>
      </c>
      <c r="F33" t="s">
        <v>46</v>
      </c>
      <c r="G33" t="s">
        <v>47</v>
      </c>
      <c r="H33">
        <v>2568.09</v>
      </c>
      <c r="I33" t="s">
        <v>104</v>
      </c>
      <c r="J33" t="s">
        <v>48</v>
      </c>
      <c r="K33" t="s">
        <v>49</v>
      </c>
      <c r="L33">
        <v>51.36</v>
      </c>
      <c r="M33">
        <v>2516.73</v>
      </c>
      <c r="N33" t="s">
        <v>24</v>
      </c>
      <c r="V33" s="3">
        <f t="shared" ref="V33" si="0">2%*126042.41</f>
        <v>2520.8481999999999</v>
      </c>
      <c r="W33" s="3">
        <f t="shared" ref="W33" si="1">2%*126042.41</f>
        <v>2520.8481999999999</v>
      </c>
    </row>
    <row r="34" spans="1:23" ht="13.8" x14ac:dyDescent="0.25">
      <c r="A34" t="s">
        <v>183</v>
      </c>
      <c r="B34" s="1" t="s">
        <v>184</v>
      </c>
      <c r="C34" s="1" t="s">
        <v>185</v>
      </c>
      <c r="D34" t="s">
        <v>186</v>
      </c>
      <c r="E34" t="s">
        <v>115</v>
      </c>
      <c r="F34" t="s">
        <v>56</v>
      </c>
      <c r="G34" t="s">
        <v>47</v>
      </c>
      <c r="H34">
        <v>376.7</v>
      </c>
      <c r="I34" t="s">
        <v>31</v>
      </c>
      <c r="J34" t="s">
        <v>48</v>
      </c>
      <c r="K34" t="s">
        <v>49</v>
      </c>
      <c r="L34">
        <v>7.53</v>
      </c>
      <c r="M34">
        <v>369.17</v>
      </c>
      <c r="N34" t="s">
        <v>99</v>
      </c>
      <c r="V34" s="5"/>
      <c r="W34" s="5"/>
    </row>
    <row r="35" spans="1:23" x14ac:dyDescent="0.25">
      <c r="A35" t="s">
        <v>187</v>
      </c>
      <c r="B35" s="1" t="s">
        <v>88</v>
      </c>
      <c r="C35" s="1" t="s">
        <v>188</v>
      </c>
      <c r="D35" t="s">
        <v>189</v>
      </c>
      <c r="E35" t="s">
        <v>190</v>
      </c>
      <c r="F35" t="s">
        <v>46</v>
      </c>
      <c r="G35" t="s">
        <v>47</v>
      </c>
      <c r="H35">
        <v>4845.1400000000003</v>
      </c>
      <c r="I35" t="s">
        <v>21</v>
      </c>
      <c r="J35" t="s">
        <v>48</v>
      </c>
      <c r="K35" t="s">
        <v>49</v>
      </c>
      <c r="L35">
        <v>96.9</v>
      </c>
      <c r="M35">
        <v>4748.24</v>
      </c>
      <c r="N35" t="s">
        <v>99</v>
      </c>
    </row>
    <row r="36" spans="1:23" x14ac:dyDescent="0.25">
      <c r="A36" t="s">
        <v>191</v>
      </c>
      <c r="B36" s="1" t="s">
        <v>83</v>
      </c>
      <c r="C36" s="1" t="s">
        <v>192</v>
      </c>
      <c r="D36" t="s">
        <v>193</v>
      </c>
      <c r="E36" t="s">
        <v>194</v>
      </c>
      <c r="F36" t="s">
        <v>46</v>
      </c>
      <c r="G36" t="s">
        <v>20</v>
      </c>
      <c r="H36">
        <v>1440.19</v>
      </c>
      <c r="I36" t="s">
        <v>21</v>
      </c>
      <c r="J36" t="s">
        <v>22</v>
      </c>
      <c r="K36" t="s">
        <v>32</v>
      </c>
      <c r="L36">
        <v>0</v>
      </c>
      <c r="M36">
        <v>0</v>
      </c>
      <c r="N36" t="s">
        <v>50</v>
      </c>
    </row>
    <row r="37" spans="1:23" x14ac:dyDescent="0.25">
      <c r="A37" t="s">
        <v>195</v>
      </c>
      <c r="B37" s="1" t="s">
        <v>129</v>
      </c>
      <c r="C37" s="1" t="s">
        <v>196</v>
      </c>
      <c r="D37" t="s">
        <v>197</v>
      </c>
      <c r="E37" t="s">
        <v>198</v>
      </c>
      <c r="F37" t="s">
        <v>92</v>
      </c>
      <c r="G37" t="s">
        <v>47</v>
      </c>
      <c r="H37">
        <v>4063.21</v>
      </c>
      <c r="I37" t="s">
        <v>21</v>
      </c>
      <c r="J37" t="s">
        <v>22</v>
      </c>
      <c r="K37" t="s">
        <v>110</v>
      </c>
      <c r="L37">
        <v>0</v>
      </c>
      <c r="M37">
        <v>0</v>
      </c>
      <c r="N37" t="s">
        <v>40</v>
      </c>
      <c r="V37" t="s">
        <v>489</v>
      </c>
      <c r="W37" t="s">
        <v>474</v>
      </c>
    </row>
    <row r="38" spans="1:23" x14ac:dyDescent="0.25">
      <c r="A38" t="s">
        <v>199</v>
      </c>
      <c r="B38" s="1" t="s">
        <v>52</v>
      </c>
      <c r="C38" s="1" t="s">
        <v>200</v>
      </c>
      <c r="D38" t="s">
        <v>201</v>
      </c>
      <c r="E38" t="s">
        <v>202</v>
      </c>
      <c r="F38" t="s">
        <v>56</v>
      </c>
      <c r="G38" t="s">
        <v>20</v>
      </c>
      <c r="H38">
        <v>853.37</v>
      </c>
      <c r="I38" t="s">
        <v>31</v>
      </c>
      <c r="J38" t="s">
        <v>48</v>
      </c>
      <c r="K38" t="s">
        <v>49</v>
      </c>
      <c r="L38">
        <v>17.07</v>
      </c>
      <c r="M38">
        <v>836.3</v>
      </c>
      <c r="N38" t="s">
        <v>62</v>
      </c>
      <c r="V38" t="s">
        <v>490</v>
      </c>
      <c r="W38" s="3"/>
    </row>
    <row r="39" spans="1:23" x14ac:dyDescent="0.25">
      <c r="A39" t="s">
        <v>203</v>
      </c>
      <c r="B39" s="1" t="s">
        <v>204</v>
      </c>
      <c r="C39" s="1" t="s">
        <v>205</v>
      </c>
      <c r="D39" t="s">
        <v>206</v>
      </c>
      <c r="E39" t="s">
        <v>207</v>
      </c>
      <c r="F39" t="s">
        <v>19</v>
      </c>
      <c r="G39" t="s">
        <v>30</v>
      </c>
      <c r="H39">
        <v>3755.03</v>
      </c>
      <c r="I39" t="s">
        <v>104</v>
      </c>
      <c r="J39" t="s">
        <v>22</v>
      </c>
      <c r="K39" t="s">
        <v>49</v>
      </c>
      <c r="L39">
        <v>0</v>
      </c>
      <c r="M39">
        <v>0</v>
      </c>
      <c r="N39" t="s">
        <v>40</v>
      </c>
      <c r="V39" t="s">
        <v>475</v>
      </c>
      <c r="W39" s="2" t="s">
        <v>476</v>
      </c>
    </row>
    <row r="40" spans="1:23" x14ac:dyDescent="0.25">
      <c r="A40" t="s">
        <v>208</v>
      </c>
      <c r="B40" s="1" t="s">
        <v>209</v>
      </c>
      <c r="C40" s="1" t="s">
        <v>210</v>
      </c>
      <c r="D40" t="s">
        <v>211</v>
      </c>
      <c r="E40" t="s">
        <v>212</v>
      </c>
      <c r="F40" t="s">
        <v>19</v>
      </c>
      <c r="G40" t="s">
        <v>47</v>
      </c>
      <c r="H40">
        <v>4059.05</v>
      </c>
      <c r="I40" t="s">
        <v>21</v>
      </c>
      <c r="J40" t="s">
        <v>22</v>
      </c>
      <c r="K40" t="s">
        <v>39</v>
      </c>
      <c r="L40">
        <v>0</v>
      </c>
      <c r="M40">
        <v>0</v>
      </c>
      <c r="N40" t="s">
        <v>40</v>
      </c>
      <c r="V40" t="s">
        <v>491</v>
      </c>
      <c r="W40" s="3">
        <f>2%*126042.41</f>
        <v>2520.8481999999999</v>
      </c>
    </row>
    <row r="41" spans="1:23" ht="13.8" x14ac:dyDescent="0.25">
      <c r="A41" t="s">
        <v>213</v>
      </c>
      <c r="B41" s="1" t="s">
        <v>214</v>
      </c>
      <c r="C41" s="1" t="s">
        <v>215</v>
      </c>
      <c r="D41" t="s">
        <v>216</v>
      </c>
      <c r="E41" t="s">
        <v>217</v>
      </c>
      <c r="F41" t="s">
        <v>19</v>
      </c>
      <c r="G41" t="s">
        <v>20</v>
      </c>
      <c r="H41">
        <v>3023.24</v>
      </c>
      <c r="I41" t="s">
        <v>21</v>
      </c>
      <c r="J41" t="s">
        <v>22</v>
      </c>
      <c r="K41" t="s">
        <v>49</v>
      </c>
      <c r="L41">
        <v>0</v>
      </c>
      <c r="M41">
        <v>0</v>
      </c>
      <c r="N41" t="s">
        <v>40</v>
      </c>
      <c r="V41" t="s">
        <v>492</v>
      </c>
      <c r="W41" s="6">
        <v>2520.85</v>
      </c>
    </row>
    <row r="42" spans="1:23" ht="13.8" x14ac:dyDescent="0.25">
      <c r="A42" t="s">
        <v>218</v>
      </c>
      <c r="B42" s="1" t="s">
        <v>26</v>
      </c>
      <c r="C42" s="1" t="s">
        <v>219</v>
      </c>
      <c r="D42" t="s">
        <v>220</v>
      </c>
      <c r="E42" t="s">
        <v>221</v>
      </c>
      <c r="F42" t="s">
        <v>38</v>
      </c>
      <c r="G42" t="s">
        <v>30</v>
      </c>
      <c r="H42">
        <v>588.4</v>
      </c>
      <c r="I42" t="s">
        <v>81</v>
      </c>
      <c r="J42" t="s">
        <v>48</v>
      </c>
      <c r="K42" t="s">
        <v>49</v>
      </c>
      <c r="L42">
        <v>11.77</v>
      </c>
      <c r="M42">
        <v>576.63</v>
      </c>
      <c r="N42" t="s">
        <v>40</v>
      </c>
      <c r="V42" t="s">
        <v>493</v>
      </c>
      <c r="W42" s="6">
        <v>2520.85</v>
      </c>
    </row>
    <row r="43" spans="1:23" x14ac:dyDescent="0.25">
      <c r="A43" t="s">
        <v>222</v>
      </c>
      <c r="B43" s="1" t="s">
        <v>223</v>
      </c>
      <c r="C43" s="1" t="s">
        <v>224</v>
      </c>
      <c r="D43" t="s">
        <v>225</v>
      </c>
      <c r="E43" t="s">
        <v>226</v>
      </c>
      <c r="F43" t="s">
        <v>19</v>
      </c>
      <c r="G43" t="s">
        <v>30</v>
      </c>
      <c r="H43">
        <v>157.19999999999999</v>
      </c>
      <c r="I43" t="s">
        <v>104</v>
      </c>
      <c r="J43" t="s">
        <v>48</v>
      </c>
      <c r="K43" t="s">
        <v>49</v>
      </c>
      <c r="L43">
        <v>3.14</v>
      </c>
      <c r="M43">
        <v>154.06</v>
      </c>
      <c r="N43" t="s">
        <v>40</v>
      </c>
    </row>
    <row r="44" spans="1:23" x14ac:dyDescent="0.25">
      <c r="A44" t="s">
        <v>227</v>
      </c>
      <c r="B44" s="1" t="s">
        <v>228</v>
      </c>
      <c r="C44" s="1" t="s">
        <v>229</v>
      </c>
      <c r="D44" t="s">
        <v>230</v>
      </c>
      <c r="E44" t="s">
        <v>231</v>
      </c>
      <c r="F44" t="s">
        <v>46</v>
      </c>
      <c r="G44" t="s">
        <v>20</v>
      </c>
      <c r="H44">
        <v>3207.77</v>
      </c>
      <c r="I44" t="s">
        <v>104</v>
      </c>
      <c r="J44" t="s">
        <v>48</v>
      </c>
      <c r="K44" t="s">
        <v>49</v>
      </c>
      <c r="L44">
        <v>64.16</v>
      </c>
      <c r="M44">
        <v>3143.61</v>
      </c>
      <c r="N44" t="s">
        <v>24</v>
      </c>
    </row>
    <row r="45" spans="1:23" x14ac:dyDescent="0.25">
      <c r="A45" t="s">
        <v>232</v>
      </c>
      <c r="B45" s="1" t="s">
        <v>228</v>
      </c>
      <c r="C45" s="1" t="s">
        <v>233</v>
      </c>
      <c r="D45" t="s">
        <v>234</v>
      </c>
      <c r="E45" t="s">
        <v>235</v>
      </c>
      <c r="F45" t="s">
        <v>92</v>
      </c>
      <c r="G45" t="s">
        <v>47</v>
      </c>
      <c r="H45">
        <v>4810.12</v>
      </c>
      <c r="I45" t="s">
        <v>104</v>
      </c>
      <c r="J45" t="s">
        <v>48</v>
      </c>
      <c r="K45" t="s">
        <v>49</v>
      </c>
      <c r="L45">
        <v>96.2</v>
      </c>
      <c r="M45">
        <v>4713.92</v>
      </c>
      <c r="N45" t="s">
        <v>62</v>
      </c>
      <c r="V45" t="s">
        <v>494</v>
      </c>
      <c r="W45" t="s">
        <v>474</v>
      </c>
    </row>
    <row r="46" spans="1:23" ht="13.8" x14ac:dyDescent="0.25">
      <c r="A46" t="s">
        <v>236</v>
      </c>
      <c r="B46" s="1" t="s">
        <v>58</v>
      </c>
      <c r="C46" s="1" t="s">
        <v>237</v>
      </c>
      <c r="D46" t="s">
        <v>238</v>
      </c>
      <c r="E46" t="s">
        <v>239</v>
      </c>
      <c r="F46" t="s">
        <v>46</v>
      </c>
      <c r="G46" t="s">
        <v>20</v>
      </c>
      <c r="H46">
        <v>2592.4499999999998</v>
      </c>
      <c r="I46" t="s">
        <v>81</v>
      </c>
      <c r="J46" t="s">
        <v>48</v>
      </c>
      <c r="K46" t="s">
        <v>49</v>
      </c>
      <c r="L46">
        <v>51.85</v>
      </c>
      <c r="M46">
        <v>2540.6</v>
      </c>
      <c r="N46" t="s">
        <v>40</v>
      </c>
      <c r="V46" t="s">
        <v>495</v>
      </c>
      <c r="W46" s="6">
        <v>2520.85</v>
      </c>
    </row>
    <row r="47" spans="1:23" ht="13.8" x14ac:dyDescent="0.25">
      <c r="A47" t="s">
        <v>240</v>
      </c>
      <c r="B47" s="1" t="s">
        <v>34</v>
      </c>
      <c r="C47" s="1" t="s">
        <v>241</v>
      </c>
      <c r="D47" t="s">
        <v>242</v>
      </c>
      <c r="E47" t="s">
        <v>243</v>
      </c>
      <c r="F47" t="s">
        <v>38</v>
      </c>
      <c r="G47" t="s">
        <v>20</v>
      </c>
      <c r="H47">
        <v>1214.9100000000001</v>
      </c>
      <c r="I47" t="s">
        <v>104</v>
      </c>
      <c r="J47" t="s">
        <v>48</v>
      </c>
      <c r="K47" t="s">
        <v>49</v>
      </c>
      <c r="L47">
        <v>24.3</v>
      </c>
      <c r="M47">
        <v>1190.6099999999999</v>
      </c>
      <c r="N47" t="s">
        <v>24</v>
      </c>
      <c r="V47" t="s">
        <v>496</v>
      </c>
      <c r="W47" s="6">
        <v>2520.85</v>
      </c>
    </row>
    <row r="48" spans="1:23" ht="13.8" x14ac:dyDescent="0.25">
      <c r="A48" t="s">
        <v>244</v>
      </c>
      <c r="B48" s="1" t="s">
        <v>245</v>
      </c>
      <c r="C48" s="1" t="s">
        <v>246</v>
      </c>
      <c r="D48" t="s">
        <v>247</v>
      </c>
      <c r="E48" t="s">
        <v>248</v>
      </c>
      <c r="F48" t="s">
        <v>56</v>
      </c>
      <c r="G48" t="s">
        <v>47</v>
      </c>
      <c r="H48">
        <v>1528.95</v>
      </c>
      <c r="I48" t="s">
        <v>81</v>
      </c>
      <c r="J48" t="s">
        <v>48</v>
      </c>
      <c r="K48" t="s">
        <v>49</v>
      </c>
      <c r="L48">
        <v>30.58</v>
      </c>
      <c r="M48">
        <v>1498.37</v>
      </c>
      <c r="N48" t="s">
        <v>62</v>
      </c>
      <c r="V48" t="s">
        <v>479</v>
      </c>
      <c r="W48" s="6">
        <v>2520.85</v>
      </c>
    </row>
    <row r="49" spans="1:23" x14ac:dyDescent="0.25">
      <c r="A49" t="s">
        <v>249</v>
      </c>
      <c r="B49" s="1" t="s">
        <v>26</v>
      </c>
      <c r="C49" s="1" t="s">
        <v>250</v>
      </c>
      <c r="D49" t="s">
        <v>251</v>
      </c>
      <c r="E49" t="s">
        <v>252</v>
      </c>
      <c r="F49" t="s">
        <v>19</v>
      </c>
      <c r="G49" t="s">
        <v>30</v>
      </c>
      <c r="H49">
        <v>730.12</v>
      </c>
      <c r="I49" t="s">
        <v>81</v>
      </c>
      <c r="J49" t="s">
        <v>48</v>
      </c>
      <c r="K49" t="s">
        <v>49</v>
      </c>
      <c r="L49">
        <v>14.6</v>
      </c>
      <c r="M49">
        <v>715.52</v>
      </c>
      <c r="N49" t="s">
        <v>99</v>
      </c>
      <c r="V49" t="s">
        <v>497</v>
      </c>
      <c r="W49">
        <v>126042.41</v>
      </c>
    </row>
    <row r="50" spans="1:23" x14ac:dyDescent="0.25">
      <c r="A50" t="s">
        <v>253</v>
      </c>
      <c r="B50" s="1" t="s">
        <v>254</v>
      </c>
      <c r="C50" s="1" t="s">
        <v>255</v>
      </c>
      <c r="D50" t="s">
        <v>256</v>
      </c>
      <c r="E50" t="s">
        <v>257</v>
      </c>
      <c r="F50" t="s">
        <v>56</v>
      </c>
      <c r="G50" t="s">
        <v>30</v>
      </c>
      <c r="H50">
        <v>4650.09</v>
      </c>
      <c r="I50" t="s">
        <v>98</v>
      </c>
      <c r="J50" t="s">
        <v>22</v>
      </c>
      <c r="K50" t="s">
        <v>39</v>
      </c>
      <c r="L50">
        <v>0</v>
      </c>
      <c r="M50">
        <v>0</v>
      </c>
      <c r="N50" t="s">
        <v>99</v>
      </c>
    </row>
    <row r="51" spans="1:23" x14ac:dyDescent="0.25">
      <c r="A51" t="s">
        <v>258</v>
      </c>
      <c r="B51" s="1" t="s">
        <v>34</v>
      </c>
      <c r="C51" s="1" t="s">
        <v>259</v>
      </c>
      <c r="D51" t="s">
        <v>260</v>
      </c>
      <c r="E51" t="s">
        <v>261</v>
      </c>
      <c r="F51" t="s">
        <v>19</v>
      </c>
      <c r="G51" t="s">
        <v>30</v>
      </c>
      <c r="H51">
        <v>3209.93</v>
      </c>
      <c r="I51" t="s">
        <v>21</v>
      </c>
      <c r="J51" t="s">
        <v>22</v>
      </c>
      <c r="K51" t="s">
        <v>32</v>
      </c>
      <c r="L51">
        <v>0</v>
      </c>
      <c r="M51">
        <v>0</v>
      </c>
      <c r="N51" t="s">
        <v>40</v>
      </c>
    </row>
    <row r="52" spans="1:23" x14ac:dyDescent="0.25">
      <c r="A52" t="s">
        <v>262</v>
      </c>
      <c r="B52" s="1" t="s">
        <v>117</v>
      </c>
      <c r="C52" s="1" t="s">
        <v>263</v>
      </c>
      <c r="D52" t="s">
        <v>264</v>
      </c>
      <c r="E52" t="s">
        <v>265</v>
      </c>
      <c r="F52" t="s">
        <v>92</v>
      </c>
      <c r="G52" t="s">
        <v>30</v>
      </c>
      <c r="H52">
        <v>3849.15</v>
      </c>
      <c r="I52" t="s">
        <v>81</v>
      </c>
      <c r="J52" t="s">
        <v>48</v>
      </c>
      <c r="K52" t="s">
        <v>49</v>
      </c>
      <c r="L52">
        <v>76.98</v>
      </c>
      <c r="M52">
        <v>3772.17</v>
      </c>
      <c r="N52" t="s">
        <v>24</v>
      </c>
    </row>
    <row r="53" spans="1:23" x14ac:dyDescent="0.25">
      <c r="A53" t="s">
        <v>266</v>
      </c>
      <c r="B53" s="1" t="s">
        <v>245</v>
      </c>
      <c r="C53" s="1" t="s">
        <v>267</v>
      </c>
      <c r="D53" t="s">
        <v>268</v>
      </c>
      <c r="E53" t="s">
        <v>269</v>
      </c>
      <c r="F53" t="s">
        <v>92</v>
      </c>
      <c r="G53" t="s">
        <v>47</v>
      </c>
      <c r="H53">
        <v>145.56</v>
      </c>
      <c r="I53" t="s">
        <v>98</v>
      </c>
      <c r="J53" t="s">
        <v>48</v>
      </c>
      <c r="K53" t="s">
        <v>49</v>
      </c>
      <c r="L53">
        <v>2.91</v>
      </c>
      <c r="M53">
        <v>142.65</v>
      </c>
      <c r="N53" t="s">
        <v>24</v>
      </c>
    </row>
    <row r="54" spans="1:23" x14ac:dyDescent="0.25">
      <c r="A54" t="s">
        <v>270</v>
      </c>
      <c r="B54" s="1" t="s">
        <v>138</v>
      </c>
      <c r="C54" s="1" t="s">
        <v>271</v>
      </c>
      <c r="D54" t="s">
        <v>272</v>
      </c>
      <c r="E54" t="s">
        <v>273</v>
      </c>
      <c r="F54" t="s">
        <v>46</v>
      </c>
      <c r="G54" t="s">
        <v>20</v>
      </c>
      <c r="H54">
        <v>2645.24</v>
      </c>
      <c r="I54" t="s">
        <v>21</v>
      </c>
      <c r="J54" t="s">
        <v>22</v>
      </c>
      <c r="K54" t="s">
        <v>39</v>
      </c>
      <c r="L54">
        <v>0</v>
      </c>
      <c r="M54">
        <v>0</v>
      </c>
      <c r="N54" t="s">
        <v>40</v>
      </c>
    </row>
    <row r="55" spans="1:23" x14ac:dyDescent="0.25">
      <c r="A55" t="s">
        <v>274</v>
      </c>
      <c r="B55" s="1" t="s">
        <v>15</v>
      </c>
      <c r="C55" s="1" t="s">
        <v>275</v>
      </c>
      <c r="D55" t="s">
        <v>276</v>
      </c>
      <c r="E55" t="s">
        <v>277</v>
      </c>
      <c r="F55" t="s">
        <v>92</v>
      </c>
      <c r="G55" t="s">
        <v>47</v>
      </c>
      <c r="H55">
        <v>4790.95</v>
      </c>
      <c r="I55" t="s">
        <v>81</v>
      </c>
      <c r="J55" t="s">
        <v>48</v>
      </c>
      <c r="K55" t="s">
        <v>49</v>
      </c>
      <c r="L55">
        <v>95.82</v>
      </c>
      <c r="M55">
        <v>4695.13</v>
      </c>
      <c r="N55" t="s">
        <v>40</v>
      </c>
    </row>
    <row r="56" spans="1:23" x14ac:dyDescent="0.25">
      <c r="A56" t="s">
        <v>278</v>
      </c>
      <c r="B56" s="1" t="s">
        <v>68</v>
      </c>
      <c r="C56" s="1" t="s">
        <v>279</v>
      </c>
      <c r="D56" t="s">
        <v>280</v>
      </c>
      <c r="E56" t="s">
        <v>281</v>
      </c>
      <c r="F56" t="s">
        <v>92</v>
      </c>
      <c r="G56" t="s">
        <v>47</v>
      </c>
      <c r="H56">
        <v>297.3</v>
      </c>
      <c r="I56" t="s">
        <v>104</v>
      </c>
      <c r="J56" t="s">
        <v>22</v>
      </c>
      <c r="K56" t="s">
        <v>32</v>
      </c>
      <c r="L56">
        <v>0</v>
      </c>
      <c r="M56">
        <v>0</v>
      </c>
      <c r="N56" t="s">
        <v>62</v>
      </c>
    </row>
    <row r="57" spans="1:23" x14ac:dyDescent="0.25">
      <c r="A57" t="s">
        <v>282</v>
      </c>
      <c r="B57" s="1" t="s">
        <v>254</v>
      </c>
      <c r="C57" s="1" t="s">
        <v>283</v>
      </c>
      <c r="D57" t="s">
        <v>284</v>
      </c>
      <c r="E57" t="s">
        <v>285</v>
      </c>
      <c r="F57" t="s">
        <v>46</v>
      </c>
      <c r="G57" t="s">
        <v>47</v>
      </c>
      <c r="H57">
        <v>1428.65</v>
      </c>
      <c r="I57" t="s">
        <v>21</v>
      </c>
      <c r="J57" t="s">
        <v>22</v>
      </c>
      <c r="K57" t="s">
        <v>49</v>
      </c>
      <c r="L57">
        <v>0</v>
      </c>
      <c r="M57">
        <v>0</v>
      </c>
      <c r="N57" t="s">
        <v>24</v>
      </c>
    </row>
    <row r="58" spans="1:23" x14ac:dyDescent="0.25">
      <c r="A58" t="s">
        <v>286</v>
      </c>
      <c r="B58" s="1" t="s">
        <v>209</v>
      </c>
      <c r="C58" s="1" t="s">
        <v>287</v>
      </c>
      <c r="D58" t="s">
        <v>288</v>
      </c>
      <c r="E58" t="s">
        <v>289</v>
      </c>
      <c r="F58" t="s">
        <v>46</v>
      </c>
      <c r="G58" t="s">
        <v>20</v>
      </c>
      <c r="H58">
        <v>3719.31</v>
      </c>
      <c r="I58" t="s">
        <v>31</v>
      </c>
      <c r="J58" t="s">
        <v>22</v>
      </c>
      <c r="K58" t="s">
        <v>32</v>
      </c>
      <c r="L58">
        <v>0</v>
      </c>
      <c r="M58">
        <v>0</v>
      </c>
      <c r="N58" t="s">
        <v>99</v>
      </c>
    </row>
    <row r="59" spans="1:23" x14ac:dyDescent="0.25">
      <c r="A59" t="s">
        <v>290</v>
      </c>
      <c r="B59" s="1" t="s">
        <v>106</v>
      </c>
      <c r="C59" s="1" t="s">
        <v>291</v>
      </c>
      <c r="D59" t="s">
        <v>292</v>
      </c>
      <c r="E59" t="s">
        <v>293</v>
      </c>
      <c r="F59" t="s">
        <v>56</v>
      </c>
      <c r="G59" t="s">
        <v>47</v>
      </c>
      <c r="H59">
        <v>3601.1</v>
      </c>
      <c r="I59" t="s">
        <v>98</v>
      </c>
      <c r="J59" t="s">
        <v>48</v>
      </c>
      <c r="K59" t="s">
        <v>49</v>
      </c>
      <c r="L59">
        <v>72.02</v>
      </c>
      <c r="M59">
        <v>3529.08</v>
      </c>
      <c r="N59" t="s">
        <v>62</v>
      </c>
    </row>
    <row r="60" spans="1:23" x14ac:dyDescent="0.25">
      <c r="A60" t="s">
        <v>294</v>
      </c>
      <c r="B60" s="1" t="s">
        <v>58</v>
      </c>
      <c r="C60" s="1" t="s">
        <v>295</v>
      </c>
      <c r="D60" t="s">
        <v>296</v>
      </c>
      <c r="E60" t="s">
        <v>297</v>
      </c>
      <c r="F60" t="s">
        <v>92</v>
      </c>
      <c r="G60" t="s">
        <v>30</v>
      </c>
      <c r="H60">
        <v>3281.14</v>
      </c>
      <c r="I60" t="s">
        <v>81</v>
      </c>
      <c r="J60" t="s">
        <v>22</v>
      </c>
      <c r="K60" t="s">
        <v>32</v>
      </c>
      <c r="L60">
        <v>0</v>
      </c>
      <c r="M60">
        <v>0</v>
      </c>
      <c r="N60" t="s">
        <v>99</v>
      </c>
    </row>
    <row r="61" spans="1:23" x14ac:dyDescent="0.25">
      <c r="A61" t="s">
        <v>298</v>
      </c>
      <c r="B61" s="1" t="s">
        <v>299</v>
      </c>
      <c r="C61" s="1" t="s">
        <v>300</v>
      </c>
      <c r="D61" t="s">
        <v>301</v>
      </c>
      <c r="E61" t="s">
        <v>302</v>
      </c>
      <c r="F61" t="s">
        <v>38</v>
      </c>
      <c r="G61" t="s">
        <v>20</v>
      </c>
      <c r="H61">
        <v>1669.54</v>
      </c>
      <c r="I61" t="s">
        <v>104</v>
      </c>
      <c r="J61" t="s">
        <v>22</v>
      </c>
      <c r="K61" t="s">
        <v>39</v>
      </c>
      <c r="L61">
        <v>0</v>
      </c>
      <c r="M61">
        <v>0</v>
      </c>
      <c r="N61" t="s">
        <v>99</v>
      </c>
    </row>
    <row r="62" spans="1:23" x14ac:dyDescent="0.25">
      <c r="A62" t="s">
        <v>303</v>
      </c>
      <c r="B62" s="1" t="s">
        <v>52</v>
      </c>
      <c r="C62" s="1" t="s">
        <v>304</v>
      </c>
      <c r="D62" t="s">
        <v>305</v>
      </c>
      <c r="E62" t="s">
        <v>306</v>
      </c>
      <c r="F62" t="s">
        <v>19</v>
      </c>
      <c r="G62" t="s">
        <v>30</v>
      </c>
      <c r="H62">
        <v>1160.6300000000001</v>
      </c>
      <c r="I62" t="s">
        <v>104</v>
      </c>
      <c r="J62" t="s">
        <v>22</v>
      </c>
      <c r="K62" t="s">
        <v>39</v>
      </c>
      <c r="L62">
        <v>0</v>
      </c>
      <c r="M62">
        <v>0</v>
      </c>
      <c r="N62" t="s">
        <v>40</v>
      </c>
    </row>
    <row r="63" spans="1:23" x14ac:dyDescent="0.25">
      <c r="A63" t="s">
        <v>307</v>
      </c>
      <c r="B63" s="1" t="s">
        <v>228</v>
      </c>
      <c r="C63" s="1" t="s">
        <v>308</v>
      </c>
      <c r="D63" t="s">
        <v>309</v>
      </c>
      <c r="E63" t="s">
        <v>310</v>
      </c>
      <c r="F63" t="s">
        <v>38</v>
      </c>
      <c r="G63" t="s">
        <v>30</v>
      </c>
      <c r="H63">
        <v>1120.8900000000001</v>
      </c>
      <c r="I63" t="s">
        <v>81</v>
      </c>
      <c r="J63" t="s">
        <v>48</v>
      </c>
      <c r="K63" t="s">
        <v>49</v>
      </c>
      <c r="L63">
        <v>22.42</v>
      </c>
      <c r="M63">
        <v>1098.47</v>
      </c>
      <c r="N63" t="s">
        <v>40</v>
      </c>
    </row>
    <row r="64" spans="1:23" x14ac:dyDescent="0.25">
      <c r="A64" t="s">
        <v>311</v>
      </c>
      <c r="B64" s="1" t="s">
        <v>83</v>
      </c>
      <c r="C64" s="1" t="s">
        <v>312</v>
      </c>
      <c r="D64" t="s">
        <v>313</v>
      </c>
      <c r="E64" t="s">
        <v>314</v>
      </c>
      <c r="F64" t="s">
        <v>38</v>
      </c>
      <c r="G64" t="s">
        <v>20</v>
      </c>
      <c r="H64">
        <v>1329.5</v>
      </c>
      <c r="I64" t="s">
        <v>31</v>
      </c>
      <c r="J64" t="s">
        <v>22</v>
      </c>
      <c r="K64" t="s">
        <v>32</v>
      </c>
      <c r="L64">
        <v>0</v>
      </c>
      <c r="M64">
        <v>0</v>
      </c>
      <c r="N64" t="s">
        <v>62</v>
      </c>
    </row>
    <row r="65" spans="1:14" x14ac:dyDescent="0.25">
      <c r="A65" t="s">
        <v>315</v>
      </c>
      <c r="B65" s="1" t="s">
        <v>179</v>
      </c>
      <c r="C65" s="1" t="s">
        <v>316</v>
      </c>
      <c r="D65" t="s">
        <v>317</v>
      </c>
      <c r="E65" t="s">
        <v>318</v>
      </c>
      <c r="F65" t="s">
        <v>56</v>
      </c>
      <c r="G65" t="s">
        <v>30</v>
      </c>
      <c r="H65">
        <v>3216.19</v>
      </c>
      <c r="I65" t="s">
        <v>21</v>
      </c>
      <c r="J65" t="s">
        <v>48</v>
      </c>
      <c r="K65" t="s">
        <v>49</v>
      </c>
      <c r="L65">
        <v>64.319999999999993</v>
      </c>
      <c r="M65">
        <v>3151.87</v>
      </c>
      <c r="N65" t="s">
        <v>40</v>
      </c>
    </row>
    <row r="66" spans="1:14" x14ac:dyDescent="0.25">
      <c r="A66" t="s">
        <v>319</v>
      </c>
      <c r="B66" s="1" t="s">
        <v>129</v>
      </c>
      <c r="C66" s="1" t="s">
        <v>320</v>
      </c>
      <c r="D66" t="s">
        <v>321</v>
      </c>
      <c r="E66" t="s">
        <v>136</v>
      </c>
      <c r="F66" t="s">
        <v>92</v>
      </c>
      <c r="G66" t="s">
        <v>47</v>
      </c>
      <c r="H66">
        <v>3005.94</v>
      </c>
      <c r="I66" t="s">
        <v>81</v>
      </c>
      <c r="J66" t="s">
        <v>22</v>
      </c>
      <c r="K66" t="s">
        <v>49</v>
      </c>
      <c r="L66">
        <v>0</v>
      </c>
      <c r="M66">
        <v>0</v>
      </c>
      <c r="N66" t="s">
        <v>99</v>
      </c>
    </row>
    <row r="67" spans="1:14" x14ac:dyDescent="0.25">
      <c r="A67" t="s">
        <v>322</v>
      </c>
      <c r="B67" s="1" t="s">
        <v>42</v>
      </c>
      <c r="C67" s="1" t="s">
        <v>323</v>
      </c>
      <c r="D67" t="s">
        <v>324</v>
      </c>
      <c r="E67" t="s">
        <v>325</v>
      </c>
      <c r="F67" t="s">
        <v>56</v>
      </c>
      <c r="G67" t="s">
        <v>47</v>
      </c>
      <c r="H67">
        <v>3716.34</v>
      </c>
      <c r="I67" t="s">
        <v>104</v>
      </c>
      <c r="J67" t="s">
        <v>48</v>
      </c>
      <c r="K67" t="s">
        <v>49</v>
      </c>
      <c r="L67">
        <v>74.33</v>
      </c>
      <c r="M67">
        <v>3642.01</v>
      </c>
      <c r="N67" t="s">
        <v>62</v>
      </c>
    </row>
    <row r="68" spans="1:14" x14ac:dyDescent="0.25">
      <c r="A68" t="s">
        <v>326</v>
      </c>
      <c r="B68" s="1" t="s">
        <v>34</v>
      </c>
      <c r="C68" s="1" t="s">
        <v>327</v>
      </c>
      <c r="D68" t="s">
        <v>328</v>
      </c>
      <c r="E68" t="s">
        <v>329</v>
      </c>
      <c r="F68" t="s">
        <v>46</v>
      </c>
      <c r="G68" t="s">
        <v>47</v>
      </c>
      <c r="H68">
        <v>2905.35</v>
      </c>
      <c r="I68" t="s">
        <v>31</v>
      </c>
      <c r="J68" t="s">
        <v>22</v>
      </c>
      <c r="K68" t="s">
        <v>39</v>
      </c>
      <c r="L68">
        <v>0</v>
      </c>
      <c r="M68">
        <v>0</v>
      </c>
      <c r="N68" t="s">
        <v>50</v>
      </c>
    </row>
    <row r="69" spans="1:14" x14ac:dyDescent="0.25">
      <c r="A69" t="s">
        <v>330</v>
      </c>
      <c r="B69" s="1" t="s">
        <v>299</v>
      </c>
      <c r="C69" s="1" t="s">
        <v>331</v>
      </c>
      <c r="D69" t="s">
        <v>332</v>
      </c>
      <c r="E69" t="s">
        <v>333</v>
      </c>
      <c r="F69" t="s">
        <v>46</v>
      </c>
      <c r="G69" t="s">
        <v>20</v>
      </c>
      <c r="H69">
        <v>2920.18</v>
      </c>
      <c r="I69" t="s">
        <v>21</v>
      </c>
      <c r="J69" t="s">
        <v>48</v>
      </c>
      <c r="K69" t="s">
        <v>49</v>
      </c>
      <c r="L69">
        <v>58.4</v>
      </c>
      <c r="M69">
        <v>2861.78</v>
      </c>
      <c r="N69" t="s">
        <v>24</v>
      </c>
    </row>
    <row r="70" spans="1:14" x14ac:dyDescent="0.25">
      <c r="A70" t="s">
        <v>334</v>
      </c>
      <c r="B70" s="1" t="s">
        <v>34</v>
      </c>
      <c r="C70" s="1" t="s">
        <v>335</v>
      </c>
      <c r="D70" t="s">
        <v>336</v>
      </c>
      <c r="E70" t="s">
        <v>337</v>
      </c>
      <c r="F70" t="s">
        <v>38</v>
      </c>
      <c r="G70" t="s">
        <v>47</v>
      </c>
      <c r="H70">
        <v>1150.1400000000001</v>
      </c>
      <c r="I70" t="s">
        <v>81</v>
      </c>
      <c r="J70" t="s">
        <v>22</v>
      </c>
      <c r="K70" t="s">
        <v>39</v>
      </c>
      <c r="L70">
        <v>0</v>
      </c>
      <c r="M70">
        <v>0</v>
      </c>
      <c r="N70" t="s">
        <v>99</v>
      </c>
    </row>
    <row r="71" spans="1:14" x14ac:dyDescent="0.25">
      <c r="A71" t="s">
        <v>338</v>
      </c>
      <c r="B71" s="1" t="s">
        <v>42</v>
      </c>
      <c r="C71" s="1" t="s">
        <v>339</v>
      </c>
      <c r="D71" t="s">
        <v>340</v>
      </c>
      <c r="E71" t="s">
        <v>341</v>
      </c>
      <c r="F71" t="s">
        <v>46</v>
      </c>
      <c r="G71" t="s">
        <v>20</v>
      </c>
      <c r="H71">
        <v>1350.42</v>
      </c>
      <c r="I71" t="s">
        <v>104</v>
      </c>
      <c r="J71" t="s">
        <v>48</v>
      </c>
      <c r="K71" t="s">
        <v>49</v>
      </c>
      <c r="L71">
        <v>27.01</v>
      </c>
      <c r="M71">
        <v>1323.41</v>
      </c>
      <c r="N71" t="s">
        <v>24</v>
      </c>
    </row>
    <row r="72" spans="1:14" x14ac:dyDescent="0.25">
      <c r="A72" t="s">
        <v>342</v>
      </c>
      <c r="B72" s="1" t="s">
        <v>245</v>
      </c>
      <c r="C72" s="1" t="s">
        <v>343</v>
      </c>
      <c r="D72" t="s">
        <v>344</v>
      </c>
      <c r="E72" t="s">
        <v>345</v>
      </c>
      <c r="F72" t="s">
        <v>19</v>
      </c>
      <c r="G72" t="s">
        <v>47</v>
      </c>
      <c r="H72">
        <v>4682.4799999999996</v>
      </c>
      <c r="I72" t="s">
        <v>104</v>
      </c>
      <c r="J72" t="s">
        <v>48</v>
      </c>
      <c r="K72" t="s">
        <v>49</v>
      </c>
      <c r="L72">
        <v>93.65</v>
      </c>
      <c r="M72">
        <v>4588.83</v>
      </c>
      <c r="N72" t="s">
        <v>62</v>
      </c>
    </row>
    <row r="73" spans="1:14" x14ac:dyDescent="0.25">
      <c r="A73" t="s">
        <v>346</v>
      </c>
      <c r="B73" s="1" t="s">
        <v>245</v>
      </c>
      <c r="C73" s="1" t="s">
        <v>347</v>
      </c>
      <c r="D73" t="s">
        <v>348</v>
      </c>
      <c r="E73" t="s">
        <v>349</v>
      </c>
      <c r="F73" t="s">
        <v>56</v>
      </c>
      <c r="G73" t="s">
        <v>47</v>
      </c>
      <c r="H73">
        <v>284.18</v>
      </c>
      <c r="I73" t="s">
        <v>21</v>
      </c>
      <c r="J73" t="s">
        <v>22</v>
      </c>
      <c r="K73" t="s">
        <v>49</v>
      </c>
      <c r="L73">
        <v>0</v>
      </c>
      <c r="M73">
        <v>0</v>
      </c>
      <c r="N73" t="s">
        <v>40</v>
      </c>
    </row>
    <row r="74" spans="1:14" x14ac:dyDescent="0.25">
      <c r="A74" t="s">
        <v>350</v>
      </c>
      <c r="B74" s="1" t="s">
        <v>117</v>
      </c>
      <c r="C74" s="1" t="s">
        <v>351</v>
      </c>
      <c r="D74" t="s">
        <v>352</v>
      </c>
      <c r="E74" t="s">
        <v>353</v>
      </c>
      <c r="F74" t="s">
        <v>46</v>
      </c>
      <c r="G74" t="s">
        <v>47</v>
      </c>
      <c r="H74">
        <v>4143.62</v>
      </c>
      <c r="I74" t="s">
        <v>81</v>
      </c>
      <c r="J74" t="s">
        <v>22</v>
      </c>
      <c r="K74" t="s">
        <v>39</v>
      </c>
      <c r="L74">
        <v>0</v>
      </c>
      <c r="M74">
        <v>0</v>
      </c>
      <c r="N74" t="s">
        <v>99</v>
      </c>
    </row>
    <row r="75" spans="1:14" x14ac:dyDescent="0.25">
      <c r="A75" t="s">
        <v>354</v>
      </c>
      <c r="B75" s="1" t="s">
        <v>245</v>
      </c>
      <c r="C75" s="1" t="s">
        <v>355</v>
      </c>
      <c r="D75" t="s">
        <v>356</v>
      </c>
      <c r="E75" t="s">
        <v>357</v>
      </c>
      <c r="F75" t="s">
        <v>92</v>
      </c>
      <c r="G75" t="s">
        <v>30</v>
      </c>
      <c r="H75">
        <v>405.04</v>
      </c>
      <c r="I75" t="s">
        <v>81</v>
      </c>
      <c r="J75" t="s">
        <v>22</v>
      </c>
      <c r="K75" t="s">
        <v>110</v>
      </c>
      <c r="L75">
        <v>0</v>
      </c>
      <c r="M75">
        <v>0</v>
      </c>
      <c r="N75" t="s">
        <v>62</v>
      </c>
    </row>
    <row r="76" spans="1:14" x14ac:dyDescent="0.25">
      <c r="A76" t="s">
        <v>358</v>
      </c>
      <c r="B76" s="1" t="s">
        <v>94</v>
      </c>
      <c r="C76" s="1" t="s">
        <v>359</v>
      </c>
      <c r="D76" t="s">
        <v>360</v>
      </c>
      <c r="E76" t="s">
        <v>361</v>
      </c>
      <c r="F76" t="s">
        <v>92</v>
      </c>
      <c r="G76" t="s">
        <v>20</v>
      </c>
      <c r="H76">
        <v>226.51</v>
      </c>
      <c r="I76" t="s">
        <v>21</v>
      </c>
      <c r="J76" t="s">
        <v>48</v>
      </c>
      <c r="K76" t="s">
        <v>49</v>
      </c>
      <c r="L76">
        <v>4.53</v>
      </c>
      <c r="M76">
        <v>221.98</v>
      </c>
      <c r="N76" t="s">
        <v>99</v>
      </c>
    </row>
    <row r="77" spans="1:14" x14ac:dyDescent="0.25">
      <c r="A77" t="s">
        <v>362</v>
      </c>
      <c r="B77" s="1" t="s">
        <v>88</v>
      </c>
      <c r="C77" s="1" t="s">
        <v>363</v>
      </c>
      <c r="D77" t="s">
        <v>364</v>
      </c>
      <c r="E77" t="s">
        <v>207</v>
      </c>
      <c r="F77" t="s">
        <v>56</v>
      </c>
      <c r="G77" t="s">
        <v>47</v>
      </c>
      <c r="H77">
        <v>1414.17</v>
      </c>
      <c r="I77" t="s">
        <v>21</v>
      </c>
      <c r="J77" t="s">
        <v>48</v>
      </c>
      <c r="K77" t="s">
        <v>49</v>
      </c>
      <c r="L77">
        <v>28.28</v>
      </c>
      <c r="M77">
        <v>1385.89</v>
      </c>
      <c r="N77" t="s">
        <v>50</v>
      </c>
    </row>
    <row r="78" spans="1:14" x14ac:dyDescent="0.25">
      <c r="A78" t="s">
        <v>365</v>
      </c>
      <c r="B78" s="1" t="s">
        <v>88</v>
      </c>
      <c r="C78" s="1" t="s">
        <v>366</v>
      </c>
      <c r="D78" t="s">
        <v>367</v>
      </c>
      <c r="E78" t="s">
        <v>368</v>
      </c>
      <c r="F78" t="s">
        <v>46</v>
      </c>
      <c r="G78" t="s">
        <v>30</v>
      </c>
      <c r="H78">
        <v>4164.8</v>
      </c>
      <c r="I78" t="s">
        <v>31</v>
      </c>
      <c r="J78" t="s">
        <v>48</v>
      </c>
      <c r="K78" t="s">
        <v>49</v>
      </c>
      <c r="L78">
        <v>83.3</v>
      </c>
      <c r="M78">
        <v>4081.5</v>
      </c>
      <c r="N78" t="s">
        <v>40</v>
      </c>
    </row>
    <row r="79" spans="1:14" x14ac:dyDescent="0.25">
      <c r="A79" t="s">
        <v>369</v>
      </c>
      <c r="B79" s="1" t="s">
        <v>184</v>
      </c>
      <c r="C79" s="1" t="s">
        <v>370</v>
      </c>
      <c r="D79" t="s">
        <v>371</v>
      </c>
      <c r="E79" t="s">
        <v>372</v>
      </c>
      <c r="F79" t="s">
        <v>46</v>
      </c>
      <c r="G79" t="s">
        <v>30</v>
      </c>
      <c r="H79">
        <v>923.44</v>
      </c>
      <c r="I79" t="s">
        <v>31</v>
      </c>
      <c r="J79" t="s">
        <v>22</v>
      </c>
      <c r="K79" t="s">
        <v>49</v>
      </c>
      <c r="L79">
        <v>0</v>
      </c>
      <c r="M79">
        <v>0</v>
      </c>
      <c r="N79" t="s">
        <v>24</v>
      </c>
    </row>
    <row r="80" spans="1:14" x14ac:dyDescent="0.25">
      <c r="A80" t="s">
        <v>373</v>
      </c>
      <c r="B80" s="1" t="s">
        <v>106</v>
      </c>
      <c r="C80" s="1" t="s">
        <v>374</v>
      </c>
      <c r="D80" t="s">
        <v>375</v>
      </c>
      <c r="E80" t="s">
        <v>376</v>
      </c>
      <c r="F80" t="s">
        <v>19</v>
      </c>
      <c r="G80" t="s">
        <v>30</v>
      </c>
      <c r="H80">
        <v>3585.36</v>
      </c>
      <c r="I80" t="s">
        <v>31</v>
      </c>
      <c r="J80" t="s">
        <v>22</v>
      </c>
      <c r="K80" t="s">
        <v>49</v>
      </c>
      <c r="L80">
        <v>0</v>
      </c>
      <c r="M80">
        <v>0</v>
      </c>
      <c r="N80" t="s">
        <v>99</v>
      </c>
    </row>
    <row r="81" spans="1:14" x14ac:dyDescent="0.25">
      <c r="A81" t="s">
        <v>377</v>
      </c>
      <c r="B81" s="1" t="s">
        <v>245</v>
      </c>
      <c r="C81" s="1" t="s">
        <v>378</v>
      </c>
      <c r="D81" t="s">
        <v>379</v>
      </c>
      <c r="E81" t="s">
        <v>380</v>
      </c>
      <c r="F81" t="s">
        <v>38</v>
      </c>
      <c r="G81" t="s">
        <v>20</v>
      </c>
      <c r="H81">
        <v>332.55</v>
      </c>
      <c r="I81" t="s">
        <v>98</v>
      </c>
      <c r="J81" t="s">
        <v>22</v>
      </c>
      <c r="K81" t="s">
        <v>49</v>
      </c>
      <c r="L81">
        <v>0</v>
      </c>
      <c r="M81">
        <v>0</v>
      </c>
      <c r="N81" t="s">
        <v>40</v>
      </c>
    </row>
    <row r="82" spans="1:14" x14ac:dyDescent="0.25">
      <c r="A82" t="s">
        <v>381</v>
      </c>
      <c r="B82" s="1" t="s">
        <v>117</v>
      </c>
      <c r="C82" s="1" t="s">
        <v>382</v>
      </c>
      <c r="D82" t="s">
        <v>383</v>
      </c>
      <c r="E82" t="s">
        <v>349</v>
      </c>
      <c r="F82" t="s">
        <v>92</v>
      </c>
      <c r="G82" t="s">
        <v>30</v>
      </c>
      <c r="H82">
        <v>4215.55</v>
      </c>
      <c r="I82" t="s">
        <v>21</v>
      </c>
      <c r="J82" t="s">
        <v>22</v>
      </c>
      <c r="K82" t="s">
        <v>110</v>
      </c>
      <c r="L82">
        <v>0</v>
      </c>
      <c r="M82">
        <v>0</v>
      </c>
      <c r="N82" t="s">
        <v>24</v>
      </c>
    </row>
    <row r="83" spans="1:14" x14ac:dyDescent="0.25">
      <c r="A83" t="s">
        <v>384</v>
      </c>
      <c r="B83" s="1" t="s">
        <v>88</v>
      </c>
      <c r="C83" s="1" t="s">
        <v>385</v>
      </c>
      <c r="D83" t="s">
        <v>386</v>
      </c>
      <c r="E83" t="s">
        <v>387</v>
      </c>
      <c r="F83" t="s">
        <v>56</v>
      </c>
      <c r="G83" t="s">
        <v>30</v>
      </c>
      <c r="H83">
        <v>3386.76</v>
      </c>
      <c r="I83" t="s">
        <v>104</v>
      </c>
      <c r="J83" t="s">
        <v>22</v>
      </c>
      <c r="K83" t="s">
        <v>39</v>
      </c>
      <c r="L83">
        <v>0</v>
      </c>
      <c r="M83">
        <v>0</v>
      </c>
      <c r="N83" t="s">
        <v>24</v>
      </c>
    </row>
    <row r="84" spans="1:14" x14ac:dyDescent="0.25">
      <c r="A84" t="s">
        <v>388</v>
      </c>
      <c r="B84" s="1" t="s">
        <v>138</v>
      </c>
      <c r="C84" s="1" t="s">
        <v>389</v>
      </c>
      <c r="D84" t="s">
        <v>390</v>
      </c>
      <c r="E84" t="s">
        <v>391</v>
      </c>
      <c r="F84" t="s">
        <v>92</v>
      </c>
      <c r="G84" t="s">
        <v>30</v>
      </c>
      <c r="H84">
        <v>3307</v>
      </c>
      <c r="I84" t="s">
        <v>31</v>
      </c>
      <c r="J84" t="s">
        <v>22</v>
      </c>
      <c r="K84" t="s">
        <v>32</v>
      </c>
      <c r="L84">
        <v>0</v>
      </c>
      <c r="M84">
        <v>0</v>
      </c>
      <c r="N84" t="s">
        <v>99</v>
      </c>
    </row>
    <row r="85" spans="1:14" x14ac:dyDescent="0.25">
      <c r="A85" t="s">
        <v>392</v>
      </c>
      <c r="B85" s="1" t="s">
        <v>393</v>
      </c>
      <c r="C85" s="1" t="s">
        <v>394</v>
      </c>
      <c r="D85" t="s">
        <v>395</v>
      </c>
      <c r="E85" t="s">
        <v>396</v>
      </c>
      <c r="F85" t="s">
        <v>92</v>
      </c>
      <c r="G85" t="s">
        <v>47</v>
      </c>
      <c r="H85">
        <v>1946.68</v>
      </c>
      <c r="I85" t="s">
        <v>31</v>
      </c>
      <c r="J85" t="s">
        <v>48</v>
      </c>
      <c r="K85" t="s">
        <v>49</v>
      </c>
      <c r="L85">
        <v>38.93</v>
      </c>
      <c r="M85">
        <v>1907.75</v>
      </c>
      <c r="N85" t="s">
        <v>40</v>
      </c>
    </row>
    <row r="86" spans="1:14" x14ac:dyDescent="0.25">
      <c r="A86" t="s">
        <v>397</v>
      </c>
      <c r="B86" s="1" t="s">
        <v>88</v>
      </c>
      <c r="C86" s="1" t="s">
        <v>398</v>
      </c>
      <c r="D86" t="s">
        <v>399</v>
      </c>
      <c r="E86" t="s">
        <v>400</v>
      </c>
      <c r="F86" t="s">
        <v>38</v>
      </c>
      <c r="G86" t="s">
        <v>47</v>
      </c>
      <c r="H86">
        <v>3141.59</v>
      </c>
      <c r="I86" t="s">
        <v>98</v>
      </c>
      <c r="J86" t="s">
        <v>22</v>
      </c>
      <c r="K86" t="s">
        <v>110</v>
      </c>
      <c r="L86">
        <v>0</v>
      </c>
      <c r="M86">
        <v>0</v>
      </c>
      <c r="N86" t="s">
        <v>40</v>
      </c>
    </row>
    <row r="87" spans="1:14" x14ac:dyDescent="0.25">
      <c r="A87" t="s">
        <v>401</v>
      </c>
      <c r="B87" s="1" t="s">
        <v>34</v>
      </c>
      <c r="C87" s="1" t="s">
        <v>402</v>
      </c>
      <c r="D87" t="s">
        <v>403</v>
      </c>
      <c r="E87" t="s">
        <v>404</v>
      </c>
      <c r="F87" t="s">
        <v>38</v>
      </c>
      <c r="G87" t="s">
        <v>47</v>
      </c>
      <c r="H87">
        <v>1830.94</v>
      </c>
      <c r="I87" t="s">
        <v>104</v>
      </c>
      <c r="J87" t="s">
        <v>48</v>
      </c>
      <c r="K87" t="s">
        <v>49</v>
      </c>
      <c r="L87">
        <v>36.619999999999997</v>
      </c>
      <c r="M87">
        <v>1794.32</v>
      </c>
      <c r="N87" t="s">
        <v>40</v>
      </c>
    </row>
    <row r="88" spans="1:14" x14ac:dyDescent="0.25">
      <c r="A88" t="s">
        <v>405</v>
      </c>
      <c r="B88" s="1" t="s">
        <v>204</v>
      </c>
      <c r="C88" s="1" t="s">
        <v>406</v>
      </c>
      <c r="D88" t="s">
        <v>407</v>
      </c>
      <c r="E88" t="s">
        <v>408</v>
      </c>
      <c r="F88" t="s">
        <v>38</v>
      </c>
      <c r="G88" t="s">
        <v>30</v>
      </c>
      <c r="H88">
        <v>4768.07</v>
      </c>
      <c r="I88" t="s">
        <v>81</v>
      </c>
      <c r="J88" t="s">
        <v>48</v>
      </c>
      <c r="K88" t="s">
        <v>49</v>
      </c>
      <c r="L88">
        <v>95.36</v>
      </c>
      <c r="M88">
        <v>4672.71</v>
      </c>
      <c r="N88" t="s">
        <v>40</v>
      </c>
    </row>
    <row r="89" spans="1:14" x14ac:dyDescent="0.25">
      <c r="A89" t="s">
        <v>409</v>
      </c>
      <c r="B89" s="1" t="s">
        <v>179</v>
      </c>
      <c r="C89" s="1" t="s">
        <v>410</v>
      </c>
      <c r="D89" t="s">
        <v>411</v>
      </c>
      <c r="E89" t="s">
        <v>412</v>
      </c>
      <c r="F89" t="s">
        <v>56</v>
      </c>
      <c r="G89" t="s">
        <v>30</v>
      </c>
      <c r="H89">
        <v>3189.18</v>
      </c>
      <c r="I89" t="s">
        <v>31</v>
      </c>
      <c r="J89" t="s">
        <v>48</v>
      </c>
      <c r="K89" t="s">
        <v>49</v>
      </c>
      <c r="L89">
        <v>63.78</v>
      </c>
      <c r="M89">
        <v>3125.4</v>
      </c>
      <c r="N89" t="s">
        <v>24</v>
      </c>
    </row>
    <row r="90" spans="1:14" x14ac:dyDescent="0.25">
      <c r="A90" t="s">
        <v>413</v>
      </c>
      <c r="B90" s="1" t="s">
        <v>88</v>
      </c>
      <c r="C90" s="1" t="s">
        <v>414</v>
      </c>
      <c r="D90" t="s">
        <v>415</v>
      </c>
      <c r="E90" t="s">
        <v>416</v>
      </c>
      <c r="F90" t="s">
        <v>46</v>
      </c>
      <c r="G90" t="s">
        <v>30</v>
      </c>
      <c r="H90">
        <v>2314.25</v>
      </c>
      <c r="I90" t="s">
        <v>104</v>
      </c>
      <c r="J90" t="s">
        <v>22</v>
      </c>
      <c r="K90" t="s">
        <v>23</v>
      </c>
      <c r="L90">
        <v>0</v>
      </c>
      <c r="M90">
        <v>0</v>
      </c>
      <c r="N90" t="s">
        <v>40</v>
      </c>
    </row>
    <row r="91" spans="1:14" x14ac:dyDescent="0.25">
      <c r="A91" t="s">
        <v>417</v>
      </c>
      <c r="B91" s="1" t="s">
        <v>42</v>
      </c>
      <c r="C91" s="1" t="s">
        <v>418</v>
      </c>
      <c r="D91" t="s">
        <v>419</v>
      </c>
      <c r="E91" t="s">
        <v>252</v>
      </c>
      <c r="F91" t="s">
        <v>46</v>
      </c>
      <c r="G91" t="s">
        <v>20</v>
      </c>
      <c r="H91">
        <v>1940.52</v>
      </c>
      <c r="I91" t="s">
        <v>81</v>
      </c>
      <c r="J91" t="s">
        <v>22</v>
      </c>
      <c r="K91" t="s">
        <v>23</v>
      </c>
      <c r="L91">
        <v>0</v>
      </c>
      <c r="M91">
        <v>0</v>
      </c>
      <c r="N91" t="s">
        <v>99</v>
      </c>
    </row>
    <row r="92" spans="1:14" x14ac:dyDescent="0.25">
      <c r="A92" t="s">
        <v>420</v>
      </c>
      <c r="B92" s="1" t="s">
        <v>209</v>
      </c>
      <c r="C92" s="1" t="s">
        <v>421</v>
      </c>
      <c r="D92" t="s">
        <v>422</v>
      </c>
      <c r="E92" t="s">
        <v>169</v>
      </c>
      <c r="F92" t="s">
        <v>56</v>
      </c>
      <c r="G92" t="s">
        <v>30</v>
      </c>
      <c r="H92">
        <v>2454.9699999999998</v>
      </c>
      <c r="I92" t="s">
        <v>104</v>
      </c>
      <c r="J92" t="s">
        <v>22</v>
      </c>
      <c r="K92" t="s">
        <v>39</v>
      </c>
      <c r="L92">
        <v>0</v>
      </c>
      <c r="M92">
        <v>0</v>
      </c>
      <c r="N92" t="s">
        <v>24</v>
      </c>
    </row>
    <row r="93" spans="1:14" x14ac:dyDescent="0.25">
      <c r="A93" t="s">
        <v>423</v>
      </c>
      <c r="B93" s="1" t="s">
        <v>214</v>
      </c>
      <c r="C93" s="1" t="s">
        <v>424</v>
      </c>
      <c r="D93" t="s">
        <v>425</v>
      </c>
      <c r="E93" t="s">
        <v>426</v>
      </c>
      <c r="F93" t="s">
        <v>38</v>
      </c>
      <c r="G93" t="s">
        <v>20</v>
      </c>
      <c r="H93">
        <v>4548.04</v>
      </c>
      <c r="I93" t="s">
        <v>81</v>
      </c>
      <c r="J93" t="s">
        <v>48</v>
      </c>
      <c r="K93" t="s">
        <v>49</v>
      </c>
      <c r="L93">
        <v>90.96</v>
      </c>
      <c r="M93">
        <v>4457.08</v>
      </c>
      <c r="N93" t="s">
        <v>62</v>
      </c>
    </row>
    <row r="94" spans="1:14" x14ac:dyDescent="0.25">
      <c r="A94" t="s">
        <v>427</v>
      </c>
      <c r="B94" s="1" t="s">
        <v>209</v>
      </c>
      <c r="C94" s="1" t="s">
        <v>428</v>
      </c>
      <c r="D94" t="s">
        <v>429</v>
      </c>
      <c r="E94" t="s">
        <v>430</v>
      </c>
      <c r="F94" t="s">
        <v>92</v>
      </c>
      <c r="G94" t="s">
        <v>47</v>
      </c>
      <c r="H94">
        <v>4750.95</v>
      </c>
      <c r="I94" t="s">
        <v>104</v>
      </c>
      <c r="J94" t="s">
        <v>48</v>
      </c>
      <c r="K94" t="s">
        <v>49</v>
      </c>
      <c r="L94">
        <v>95.02</v>
      </c>
      <c r="M94">
        <v>4655.93</v>
      </c>
      <c r="N94" t="s">
        <v>99</v>
      </c>
    </row>
    <row r="95" spans="1:14" x14ac:dyDescent="0.25">
      <c r="A95" t="s">
        <v>431</v>
      </c>
      <c r="B95" s="1" t="s">
        <v>432</v>
      </c>
      <c r="C95" s="1" t="s">
        <v>433</v>
      </c>
      <c r="D95" t="s">
        <v>434</v>
      </c>
      <c r="E95" t="s">
        <v>435</v>
      </c>
      <c r="F95" t="s">
        <v>92</v>
      </c>
      <c r="G95" t="s">
        <v>30</v>
      </c>
      <c r="H95">
        <v>839.69</v>
      </c>
      <c r="I95" t="s">
        <v>98</v>
      </c>
      <c r="J95" t="s">
        <v>22</v>
      </c>
      <c r="K95" t="s">
        <v>110</v>
      </c>
      <c r="L95">
        <v>0</v>
      </c>
      <c r="M95">
        <v>0</v>
      </c>
      <c r="N95" t="s">
        <v>62</v>
      </c>
    </row>
    <row r="96" spans="1:14" x14ac:dyDescent="0.25">
      <c r="A96" t="s">
        <v>436</v>
      </c>
      <c r="B96" s="1" t="s">
        <v>228</v>
      </c>
      <c r="C96" s="1" t="s">
        <v>437</v>
      </c>
      <c r="D96" t="s">
        <v>438</v>
      </c>
      <c r="E96" t="s">
        <v>439</v>
      </c>
      <c r="F96" t="s">
        <v>92</v>
      </c>
      <c r="G96" t="s">
        <v>30</v>
      </c>
      <c r="H96">
        <v>4733.71</v>
      </c>
      <c r="I96" t="s">
        <v>21</v>
      </c>
      <c r="J96" t="s">
        <v>48</v>
      </c>
      <c r="K96" t="s">
        <v>49</v>
      </c>
      <c r="L96">
        <v>94.67</v>
      </c>
      <c r="M96">
        <v>4639.04</v>
      </c>
      <c r="N96" t="s">
        <v>40</v>
      </c>
    </row>
    <row r="97" spans="1:14" x14ac:dyDescent="0.25">
      <c r="A97" t="s">
        <v>440</v>
      </c>
      <c r="B97" s="1" t="s">
        <v>441</v>
      </c>
      <c r="C97" s="1" t="s">
        <v>442</v>
      </c>
      <c r="D97" t="s">
        <v>443</v>
      </c>
      <c r="E97" t="s">
        <v>444</v>
      </c>
      <c r="F97" t="s">
        <v>46</v>
      </c>
      <c r="G97" t="s">
        <v>47</v>
      </c>
      <c r="H97">
        <v>983.95</v>
      </c>
      <c r="I97" t="s">
        <v>104</v>
      </c>
      <c r="J97" t="s">
        <v>22</v>
      </c>
      <c r="K97" t="s">
        <v>49</v>
      </c>
      <c r="L97">
        <v>0</v>
      </c>
      <c r="M97">
        <v>0</v>
      </c>
      <c r="N97" t="s">
        <v>24</v>
      </c>
    </row>
    <row r="98" spans="1:14" x14ac:dyDescent="0.25">
      <c r="A98" t="s">
        <v>445</v>
      </c>
      <c r="B98" s="1" t="s">
        <v>83</v>
      </c>
      <c r="C98" s="1" t="s">
        <v>446</v>
      </c>
      <c r="D98" t="s">
        <v>447</v>
      </c>
      <c r="E98" t="s">
        <v>448</v>
      </c>
      <c r="F98" t="s">
        <v>38</v>
      </c>
      <c r="G98" t="s">
        <v>47</v>
      </c>
      <c r="H98">
        <v>2306.11</v>
      </c>
      <c r="I98" t="s">
        <v>21</v>
      </c>
      <c r="J98" t="s">
        <v>22</v>
      </c>
      <c r="K98" t="s">
        <v>23</v>
      </c>
      <c r="L98">
        <v>0</v>
      </c>
      <c r="M98">
        <v>0</v>
      </c>
      <c r="N98" t="s">
        <v>40</v>
      </c>
    </row>
    <row r="99" spans="1:14" x14ac:dyDescent="0.25">
      <c r="A99" t="s">
        <v>449</v>
      </c>
      <c r="B99" s="1" t="s">
        <v>42</v>
      </c>
      <c r="C99" s="1" t="s">
        <v>450</v>
      </c>
      <c r="D99" t="s">
        <v>451</v>
      </c>
      <c r="E99" t="s">
        <v>452</v>
      </c>
      <c r="F99" t="s">
        <v>19</v>
      </c>
      <c r="G99" t="s">
        <v>30</v>
      </c>
      <c r="H99">
        <v>3902.86</v>
      </c>
      <c r="I99" t="s">
        <v>21</v>
      </c>
      <c r="J99" t="s">
        <v>22</v>
      </c>
      <c r="K99" t="s">
        <v>39</v>
      </c>
      <c r="L99">
        <v>0</v>
      </c>
      <c r="M99">
        <v>0</v>
      </c>
      <c r="N99" t="s">
        <v>50</v>
      </c>
    </row>
    <row r="100" spans="1:14" x14ac:dyDescent="0.25">
      <c r="A100" t="s">
        <v>453</v>
      </c>
      <c r="B100" s="1" t="s">
        <v>68</v>
      </c>
      <c r="C100" s="1" t="s">
        <v>454</v>
      </c>
      <c r="D100" t="s">
        <v>455</v>
      </c>
      <c r="E100" t="s">
        <v>456</v>
      </c>
      <c r="F100" t="s">
        <v>19</v>
      </c>
      <c r="G100" t="s">
        <v>47</v>
      </c>
      <c r="H100">
        <v>2455.27</v>
      </c>
      <c r="I100" t="s">
        <v>104</v>
      </c>
      <c r="J100" t="s">
        <v>22</v>
      </c>
      <c r="K100" t="s">
        <v>110</v>
      </c>
      <c r="L100">
        <v>0</v>
      </c>
      <c r="M100">
        <v>0</v>
      </c>
      <c r="N100" t="s">
        <v>50</v>
      </c>
    </row>
    <row r="101" spans="1:14" x14ac:dyDescent="0.25">
      <c r="A101" t="s">
        <v>457</v>
      </c>
      <c r="B101" s="1" t="s">
        <v>441</v>
      </c>
      <c r="C101" s="1" t="s">
        <v>458</v>
      </c>
      <c r="D101" t="s">
        <v>459</v>
      </c>
      <c r="E101" t="s">
        <v>460</v>
      </c>
      <c r="F101" t="s">
        <v>56</v>
      </c>
      <c r="G101" t="s">
        <v>47</v>
      </c>
      <c r="H101">
        <v>4721.8599999999997</v>
      </c>
      <c r="I101" t="s">
        <v>98</v>
      </c>
      <c r="J101" t="s">
        <v>48</v>
      </c>
      <c r="K101" t="s">
        <v>49</v>
      </c>
      <c r="L101">
        <v>94.44</v>
      </c>
      <c r="M101">
        <v>4627.42</v>
      </c>
      <c r="N101" t="s">
        <v>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6430-9EA9-4022-AB3A-7996784E435C}">
  <dimension ref="A5:K33"/>
  <sheetViews>
    <sheetView workbookViewId="0">
      <selection activeCell="L31" sqref="L31"/>
    </sheetView>
  </sheetViews>
  <sheetFormatPr defaultRowHeight="13.2" x14ac:dyDescent="0.25"/>
  <cols>
    <col min="1" max="1" width="15.5546875" customWidth="1"/>
    <col min="2" max="2" width="14.21875" customWidth="1"/>
    <col min="3" max="3" width="25.77734375" customWidth="1"/>
    <col min="4" max="4" width="23.6640625" customWidth="1"/>
    <col min="6" max="6" width="12.6640625" customWidth="1"/>
    <col min="8" max="8" width="12.44140625" customWidth="1"/>
  </cols>
  <sheetData>
    <row r="5" spans="1:11" x14ac:dyDescent="0.25">
      <c r="A5" t="s">
        <v>501</v>
      </c>
      <c r="B5" t="s">
        <v>499</v>
      </c>
    </row>
    <row r="6" spans="1:11" x14ac:dyDescent="0.25">
      <c r="A6" t="s">
        <v>40</v>
      </c>
      <c r="B6">
        <v>773.47</v>
      </c>
      <c r="F6" s="9" t="s">
        <v>501</v>
      </c>
      <c r="G6" t="s">
        <v>498</v>
      </c>
    </row>
    <row r="7" spans="1:11" x14ac:dyDescent="0.25">
      <c r="A7" s="10" t="s">
        <v>50</v>
      </c>
      <c r="B7">
        <v>374.59999999999991</v>
      </c>
      <c r="F7" s="10" t="s">
        <v>40</v>
      </c>
      <c r="G7">
        <v>81389.75</v>
      </c>
    </row>
    <row r="8" spans="1:11" x14ac:dyDescent="0.25">
      <c r="A8" s="10" t="s">
        <v>99</v>
      </c>
      <c r="B8">
        <v>343.05</v>
      </c>
      <c r="F8" s="10" t="s">
        <v>50</v>
      </c>
      <c r="G8">
        <v>39935.499999999993</v>
      </c>
    </row>
    <row r="9" spans="1:11" x14ac:dyDescent="0.25">
      <c r="A9" s="10" t="s">
        <v>62</v>
      </c>
      <c r="B9">
        <v>497.2</v>
      </c>
      <c r="F9" s="10" t="s">
        <v>99</v>
      </c>
      <c r="G9">
        <v>52467.21</v>
      </c>
    </row>
    <row r="10" spans="1:11" x14ac:dyDescent="0.25">
      <c r="A10" s="10" t="s">
        <v>24</v>
      </c>
      <c r="B10">
        <v>532.52</v>
      </c>
      <c r="F10" s="10" t="s">
        <v>62</v>
      </c>
      <c r="G10">
        <v>31117.62</v>
      </c>
    </row>
    <row r="11" spans="1:11" x14ac:dyDescent="0.25">
      <c r="A11" s="10" t="s">
        <v>502</v>
      </c>
      <c r="B11">
        <v>2520.84</v>
      </c>
      <c r="F11" s="10" t="s">
        <v>24</v>
      </c>
      <c r="G11">
        <v>56785.08</v>
      </c>
    </row>
    <row r="12" spans="1:11" x14ac:dyDescent="0.25">
      <c r="F12" s="10" t="s">
        <v>502</v>
      </c>
      <c r="G12">
        <v>261695.15999999997</v>
      </c>
    </row>
    <row r="16" spans="1:11" x14ac:dyDescent="0.25">
      <c r="A16" s="9" t="s">
        <v>501</v>
      </c>
      <c r="B16" s="9" t="s">
        <v>500</v>
      </c>
      <c r="C16" t="s">
        <v>499</v>
      </c>
      <c r="D16" t="s">
        <v>503</v>
      </c>
      <c r="H16" s="9" t="s">
        <v>501</v>
      </c>
      <c r="I16" s="9" t="s">
        <v>500</v>
      </c>
      <c r="J16" t="s">
        <v>499</v>
      </c>
      <c r="K16" t="s">
        <v>498</v>
      </c>
    </row>
    <row r="17" spans="1:11" x14ac:dyDescent="0.25">
      <c r="A17" s="10" t="s">
        <v>40</v>
      </c>
      <c r="B17">
        <v>37900.449999999997</v>
      </c>
      <c r="C17">
        <v>773.47</v>
      </c>
      <c r="D17">
        <v>28</v>
      </c>
      <c r="H17" s="10" t="s">
        <v>92</v>
      </c>
      <c r="I17">
        <v>31337.22</v>
      </c>
      <c r="J17">
        <v>639.53</v>
      </c>
      <c r="K17">
        <v>58074.30000000001</v>
      </c>
    </row>
    <row r="18" spans="1:11" x14ac:dyDescent="0.25">
      <c r="A18" s="10" t="s">
        <v>50</v>
      </c>
      <c r="B18">
        <v>18354.989999999998</v>
      </c>
      <c r="C18">
        <v>374.59999999999991</v>
      </c>
      <c r="D18">
        <v>17</v>
      </c>
      <c r="H18" s="10" t="s">
        <v>19</v>
      </c>
      <c r="I18">
        <v>5458.41</v>
      </c>
      <c r="J18">
        <v>111.39</v>
      </c>
      <c r="K18">
        <v>37386.68</v>
      </c>
    </row>
    <row r="19" spans="1:11" x14ac:dyDescent="0.25">
      <c r="A19" s="10" t="s">
        <v>99</v>
      </c>
      <c r="B19">
        <v>16809.7</v>
      </c>
      <c r="C19">
        <v>343.05</v>
      </c>
      <c r="D19">
        <v>18</v>
      </c>
      <c r="H19" s="10" t="s">
        <v>56</v>
      </c>
      <c r="I19">
        <v>24738.240000000005</v>
      </c>
      <c r="J19">
        <v>504.85999999999996</v>
      </c>
      <c r="K19">
        <v>42699.770000000004</v>
      </c>
    </row>
    <row r="20" spans="1:11" x14ac:dyDescent="0.25">
      <c r="A20" s="10" t="s">
        <v>62</v>
      </c>
      <c r="B20">
        <v>24362.83</v>
      </c>
      <c r="C20">
        <v>497.2</v>
      </c>
      <c r="D20">
        <v>13</v>
      </c>
      <c r="H20" s="10" t="s">
        <v>38</v>
      </c>
      <c r="I20">
        <v>21921.620000000003</v>
      </c>
      <c r="J20">
        <v>447.38</v>
      </c>
      <c r="K20">
        <v>38156.26</v>
      </c>
    </row>
    <row r="21" spans="1:11" x14ac:dyDescent="0.25">
      <c r="A21" s="10" t="s">
        <v>24</v>
      </c>
      <c r="B21">
        <v>26093.600000000002</v>
      </c>
      <c r="C21">
        <v>532.52</v>
      </c>
      <c r="D21">
        <v>24</v>
      </c>
      <c r="H21" s="10" t="s">
        <v>46</v>
      </c>
      <c r="I21">
        <v>40066.080000000002</v>
      </c>
      <c r="J21">
        <v>817.68</v>
      </c>
      <c r="K21">
        <v>85378.14999999998</v>
      </c>
    </row>
    <row r="22" spans="1:11" x14ac:dyDescent="0.25">
      <c r="A22" s="10" t="s">
        <v>502</v>
      </c>
      <c r="B22">
        <v>123521.56999999999</v>
      </c>
      <c r="C22">
        <v>2520.8400000000006</v>
      </c>
      <c r="D22">
        <v>100</v>
      </c>
      <c r="H22" s="10" t="s">
        <v>502</v>
      </c>
      <c r="I22">
        <v>123521.57000000002</v>
      </c>
      <c r="J22">
        <v>2520.8399999999997</v>
      </c>
      <c r="K22">
        <v>261695.15999999997</v>
      </c>
    </row>
    <row r="27" spans="1:11" x14ac:dyDescent="0.25">
      <c r="A27" s="9" t="s">
        <v>501</v>
      </c>
      <c r="B27" s="9" t="s">
        <v>499</v>
      </c>
      <c r="C27" t="s">
        <v>498</v>
      </c>
      <c r="D27" t="s">
        <v>503</v>
      </c>
      <c r="H27" s="9" t="s">
        <v>501</v>
      </c>
      <c r="I27" t="s">
        <v>498</v>
      </c>
    </row>
    <row r="28" spans="1:11" x14ac:dyDescent="0.25">
      <c r="A28" s="10" t="s">
        <v>47</v>
      </c>
      <c r="B28">
        <v>1228.55</v>
      </c>
      <c r="C28">
        <v>105106.45999999999</v>
      </c>
      <c r="D28">
        <v>38</v>
      </c>
      <c r="H28" s="10" t="s">
        <v>98</v>
      </c>
      <c r="I28">
        <v>35139.71</v>
      </c>
    </row>
    <row r="29" spans="1:11" x14ac:dyDescent="0.25">
      <c r="A29" s="10" t="s">
        <v>30</v>
      </c>
      <c r="B29">
        <v>784.3</v>
      </c>
      <c r="C29">
        <v>92341.119999999995</v>
      </c>
      <c r="D29">
        <v>35</v>
      </c>
      <c r="H29" s="10" t="s">
        <v>104</v>
      </c>
      <c r="I29">
        <v>59285.5</v>
      </c>
    </row>
    <row r="30" spans="1:11" x14ac:dyDescent="0.25">
      <c r="A30" s="10" t="s">
        <v>20</v>
      </c>
      <c r="B30">
        <v>507.98999999999995</v>
      </c>
      <c r="C30">
        <v>64247.579999999994</v>
      </c>
      <c r="D30">
        <v>27</v>
      </c>
      <c r="H30" s="10" t="s">
        <v>81</v>
      </c>
      <c r="I30">
        <v>50388.91</v>
      </c>
    </row>
    <row r="31" spans="1:11" x14ac:dyDescent="0.25">
      <c r="A31" s="10" t="s">
        <v>502</v>
      </c>
      <c r="B31">
        <v>2520.8400000000006</v>
      </c>
      <c r="C31">
        <v>261695.15999999995</v>
      </c>
      <c r="D31">
        <v>100</v>
      </c>
      <c r="H31" s="10" t="s">
        <v>21</v>
      </c>
      <c r="I31">
        <v>65471.54</v>
      </c>
    </row>
    <row r="32" spans="1:11" x14ac:dyDescent="0.25">
      <c r="H32" s="10" t="s">
        <v>31</v>
      </c>
      <c r="I32">
        <v>51409.500000000007</v>
      </c>
    </row>
    <row r="33" spans="8:9" x14ac:dyDescent="0.25">
      <c r="H33" s="10" t="s">
        <v>502</v>
      </c>
      <c r="I33">
        <v>261695.16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trnsactions 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Elancheziyan K</cp:lastModifiedBy>
  <dcterms:created xsi:type="dcterms:W3CDTF">2026-02-11T18:53:29Z</dcterms:created>
  <dcterms:modified xsi:type="dcterms:W3CDTF">2026-02-11T19:17:48Z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